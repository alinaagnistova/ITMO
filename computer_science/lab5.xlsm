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dbb3469a1f17ea8/Рабочий стол/"/>
    </mc:Choice>
  </mc:AlternateContent>
  <xr:revisionPtr revIDLastSave="0" documentId="8_{A6667D0A-0533-49F2-9715-40CC3B73224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Лист1" sheetId="1" r:id="rId1"/>
    <sheet name="Лист2" sheetId="2" r:id="rId2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A66" i="1"/>
  <c r="BA64" i="1"/>
  <c r="BA63" i="1"/>
  <c r="BA56" i="1"/>
  <c r="BA54" i="1"/>
  <c r="BA53" i="1"/>
  <c r="BA44" i="1"/>
  <c r="BA43" i="1"/>
  <c r="BA46" i="1"/>
  <c r="BA36" i="1"/>
  <c r="BA26" i="1"/>
  <c r="BA16" i="1"/>
  <c r="BA7" i="1"/>
  <c r="BA34" i="1"/>
  <c r="BA33" i="1"/>
  <c r="BA24" i="1"/>
  <c r="BA23" i="1"/>
  <c r="BA14" i="1"/>
  <c r="BA13" i="1"/>
  <c r="AP68" i="1"/>
  <c r="AP58" i="1"/>
  <c r="AP48" i="1"/>
  <c r="AP38" i="1"/>
  <c r="AP28" i="1"/>
  <c r="AM68" i="1"/>
  <c r="AM58" i="1"/>
  <c r="AM48" i="1"/>
  <c r="AM38" i="1"/>
  <c r="AM28" i="1"/>
  <c r="AM18" i="1"/>
  <c r="AJ58" i="1"/>
  <c r="AJ63" i="1"/>
  <c r="AK63" i="1"/>
  <c r="AL63" i="1"/>
  <c r="AT63" i="1"/>
  <c r="AU63" i="1"/>
  <c r="AV63" i="1"/>
  <c r="AO63" i="1"/>
  <c r="AP63" i="1"/>
  <c r="AQ63" i="1"/>
  <c r="AS63" i="1"/>
  <c r="AN63" i="1"/>
  <c r="AI63" i="1"/>
  <c r="AT64" i="1"/>
  <c r="AU64" i="1"/>
  <c r="AV64" i="1"/>
  <c r="AO64" i="1"/>
  <c r="AP64" i="1"/>
  <c r="AQ64" i="1"/>
  <c r="AJ64" i="1"/>
  <c r="AK64" i="1"/>
  <c r="AL64" i="1"/>
  <c r="AS64" i="1"/>
  <c r="AS14" i="1"/>
  <c r="AN64" i="1"/>
  <c r="AN14" i="1"/>
  <c r="AI64" i="1"/>
  <c r="AI14" i="1"/>
  <c r="AE63" i="1"/>
  <c r="AF63" i="1"/>
  <c r="AG63" i="1"/>
  <c r="AD63" i="1"/>
  <c r="AE64" i="1"/>
  <c r="AF64" i="1"/>
  <c r="AG64" i="1"/>
  <c r="AD64" i="1"/>
  <c r="AD14" i="1"/>
  <c r="AT53" i="1"/>
  <c r="AU53" i="1"/>
  <c r="AV53" i="1"/>
  <c r="AO53" i="1"/>
  <c r="AP53" i="1"/>
  <c r="AQ53" i="1"/>
  <c r="AJ53" i="1"/>
  <c r="AK53" i="1"/>
  <c r="AL53" i="1"/>
  <c r="AS53" i="1"/>
  <c r="AN53" i="1"/>
  <c r="AI53" i="1"/>
  <c r="AE53" i="1"/>
  <c r="AF53" i="1"/>
  <c r="AG53" i="1"/>
  <c r="AD53" i="1"/>
  <c r="AD4" i="1"/>
  <c r="AO54" i="1"/>
  <c r="AP54" i="1"/>
  <c r="AQ54" i="1"/>
  <c r="AT54" i="1"/>
  <c r="AU54" i="1"/>
  <c r="AV54" i="1"/>
  <c r="AS54" i="1"/>
  <c r="AS43" i="1"/>
  <c r="AN54" i="1"/>
  <c r="AN44" i="1"/>
  <c r="AJ54" i="1"/>
  <c r="AK54" i="1"/>
  <c r="AL54" i="1"/>
  <c r="AI54" i="1"/>
  <c r="AI43" i="1"/>
  <c r="AE54" i="1"/>
  <c r="AF54" i="1"/>
  <c r="AG54" i="1"/>
  <c r="AD54" i="1"/>
  <c r="AD43" i="1"/>
  <c r="AV44" i="1"/>
  <c r="AU44" i="1"/>
  <c r="AT44" i="1"/>
  <c r="AS44" i="1"/>
  <c r="AQ44" i="1"/>
  <c r="AP44" i="1"/>
  <c r="AO44" i="1"/>
  <c r="AL44" i="1"/>
  <c r="AK44" i="1"/>
  <c r="AJ44" i="1"/>
  <c r="AI44" i="1"/>
  <c r="AG44" i="1"/>
  <c r="AF44" i="1"/>
  <c r="AE44" i="1"/>
  <c r="AD44" i="1"/>
  <c r="AT43" i="1"/>
  <c r="AU43" i="1"/>
  <c r="AV43" i="1"/>
  <c r="AO43" i="1"/>
  <c r="AP43" i="1"/>
  <c r="AQ43" i="1"/>
  <c r="AE43" i="1"/>
  <c r="AF43" i="1"/>
  <c r="AG43" i="1"/>
  <c r="AJ43" i="1"/>
  <c r="AK43" i="1"/>
  <c r="AL43" i="1"/>
  <c r="AS34" i="1"/>
  <c r="AS33" i="1"/>
  <c r="AN43" i="1"/>
  <c r="AN34" i="1"/>
  <c r="AI34" i="1"/>
  <c r="AD34" i="1"/>
  <c r="AU34" i="1"/>
  <c r="AT34" i="1"/>
  <c r="AQ34" i="1"/>
  <c r="AP34" i="1"/>
  <c r="AO34" i="1"/>
  <c r="AL34" i="1"/>
  <c r="AK34" i="1"/>
  <c r="AJ34" i="1"/>
  <c r="AG34" i="1"/>
  <c r="AF34" i="1"/>
  <c r="AE34" i="1"/>
  <c r="AT33" i="1"/>
  <c r="AU33" i="1"/>
  <c r="AV33" i="1"/>
  <c r="AO33" i="1"/>
  <c r="AP33" i="1"/>
  <c r="AQ33" i="1"/>
  <c r="AS24" i="1"/>
  <c r="AN33" i="1"/>
  <c r="AN24" i="1"/>
  <c r="AJ33" i="1"/>
  <c r="AK33" i="1"/>
  <c r="AL33" i="1"/>
  <c r="AI33" i="1"/>
  <c r="AI24" i="1"/>
  <c r="AD33" i="1"/>
  <c r="AE33" i="1"/>
  <c r="AF33" i="1"/>
  <c r="AG33" i="1"/>
  <c r="AD24" i="1"/>
  <c r="AT24" i="1"/>
  <c r="AU24" i="1"/>
  <c r="AV24" i="1"/>
  <c r="AO24" i="1"/>
  <c r="AP24" i="1"/>
  <c r="AQ24" i="1"/>
  <c r="AJ24" i="1"/>
  <c r="AK24" i="1"/>
  <c r="AL24" i="1"/>
  <c r="AE24" i="1"/>
  <c r="AF24" i="1"/>
  <c r="AG24" i="1"/>
  <c r="AV23" i="1"/>
  <c r="AU23" i="1"/>
  <c r="AT23" i="1"/>
  <c r="AS23" i="1"/>
  <c r="AO23" i="1"/>
  <c r="AP23" i="1"/>
  <c r="AQ23" i="1"/>
  <c r="AN23" i="1"/>
  <c r="AJ23" i="1"/>
  <c r="AK23" i="1"/>
  <c r="AL23" i="1"/>
  <c r="AI23" i="1"/>
  <c r="AE23" i="1"/>
  <c r="AF23" i="1"/>
  <c r="AG23" i="1"/>
  <c r="AD23" i="1"/>
  <c r="AV66" i="1"/>
  <c r="AV56" i="1"/>
  <c r="AV46" i="1"/>
  <c r="AV36" i="1"/>
  <c r="AV26" i="1"/>
  <c r="AU62" i="1"/>
  <c r="AU66" i="1" s="1"/>
  <c r="AT62" i="1"/>
  <c r="AT66" i="1" s="1"/>
  <c r="AS62" i="1"/>
  <c r="AS66" i="1" s="1"/>
  <c r="AQ62" i="1"/>
  <c r="AQ66" i="1" s="1"/>
  <c r="AP62" i="1"/>
  <c r="AP66" i="1" s="1"/>
  <c r="AO62" i="1"/>
  <c r="AO66" i="1" s="1"/>
  <c r="AN62" i="1"/>
  <c r="AN66" i="1" s="1"/>
  <c r="AL62" i="1"/>
  <c r="AL66" i="1" s="1"/>
  <c r="AK62" i="1"/>
  <c r="AK66" i="1" s="1"/>
  <c r="AJ62" i="1"/>
  <c r="AJ66" i="1" s="1"/>
  <c r="AI62" i="1"/>
  <c r="AI66" i="1" s="1"/>
  <c r="AG62" i="1"/>
  <c r="AG66" i="1" s="1"/>
  <c r="AF62" i="1"/>
  <c r="AF66" i="1" s="1"/>
  <c r="AE62" i="1"/>
  <c r="AE66" i="1" s="1"/>
  <c r="AD62" i="1"/>
  <c r="AD66" i="1" s="1"/>
  <c r="AU52" i="1"/>
  <c r="AU56" i="1" s="1"/>
  <c r="AT52" i="1"/>
  <c r="AT56" i="1" s="1"/>
  <c r="AS52" i="1"/>
  <c r="AS56" i="1" s="1"/>
  <c r="AQ52" i="1"/>
  <c r="AQ56" i="1" s="1"/>
  <c r="AP52" i="1"/>
  <c r="AP56" i="1" s="1"/>
  <c r="AO52" i="1"/>
  <c r="AO56" i="1" s="1"/>
  <c r="AN52" i="1"/>
  <c r="AN56" i="1" s="1"/>
  <c r="AL52" i="1"/>
  <c r="AL56" i="1" s="1"/>
  <c r="AK52" i="1"/>
  <c r="AK56" i="1" s="1"/>
  <c r="AJ52" i="1"/>
  <c r="AJ56" i="1" s="1"/>
  <c r="AI52" i="1"/>
  <c r="AI56" i="1" s="1"/>
  <c r="AG52" i="1"/>
  <c r="AG56" i="1" s="1"/>
  <c r="AF52" i="1"/>
  <c r="AF56" i="1" s="1"/>
  <c r="AE52" i="1"/>
  <c r="AE56" i="1" s="1"/>
  <c r="AD52" i="1"/>
  <c r="AD56" i="1" s="1"/>
  <c r="AU42" i="1"/>
  <c r="AU46" i="1" s="1"/>
  <c r="AT42" i="1"/>
  <c r="AT46" i="1" s="1"/>
  <c r="AS42" i="1"/>
  <c r="AS46" i="1" s="1"/>
  <c r="AQ42" i="1"/>
  <c r="AQ46" i="1" s="1"/>
  <c r="AP42" i="1"/>
  <c r="AP46" i="1" s="1"/>
  <c r="AO42" i="1"/>
  <c r="AO46" i="1" s="1"/>
  <c r="AN42" i="1"/>
  <c r="AN46" i="1" s="1"/>
  <c r="AL42" i="1"/>
  <c r="AL46" i="1" s="1"/>
  <c r="AK42" i="1"/>
  <c r="AK46" i="1" s="1"/>
  <c r="AJ42" i="1"/>
  <c r="AJ46" i="1" s="1"/>
  <c r="AI42" i="1"/>
  <c r="AI46" i="1" s="1"/>
  <c r="AG42" i="1"/>
  <c r="AG46" i="1" s="1"/>
  <c r="AF42" i="1"/>
  <c r="AF46" i="1" s="1"/>
  <c r="AE42" i="1"/>
  <c r="AE46" i="1" s="1"/>
  <c r="AD42" i="1"/>
  <c r="AD46" i="1" s="1"/>
  <c r="AU32" i="1"/>
  <c r="AU36" i="1" s="1"/>
  <c r="AT32" i="1"/>
  <c r="AT36" i="1" s="1"/>
  <c r="AS32" i="1"/>
  <c r="AS36" i="1" s="1"/>
  <c r="AQ32" i="1"/>
  <c r="AQ36" i="1" s="1"/>
  <c r="AP32" i="1"/>
  <c r="AP36" i="1" s="1"/>
  <c r="AO32" i="1"/>
  <c r="AO36" i="1" s="1"/>
  <c r="AN32" i="1"/>
  <c r="AN36" i="1" s="1"/>
  <c r="AL32" i="1"/>
  <c r="AL36" i="1" s="1"/>
  <c r="AK32" i="1"/>
  <c r="AK36" i="1" s="1"/>
  <c r="AJ32" i="1"/>
  <c r="AJ36" i="1" s="1"/>
  <c r="AI32" i="1"/>
  <c r="AI36" i="1" s="1"/>
  <c r="AG32" i="1"/>
  <c r="AG36" i="1" s="1"/>
  <c r="AF32" i="1"/>
  <c r="AF36" i="1" s="1"/>
  <c r="AE32" i="1"/>
  <c r="AE36" i="1" s="1"/>
  <c r="AD32" i="1"/>
  <c r="AD36" i="1" s="1"/>
  <c r="AU22" i="1"/>
  <c r="AU26" i="1" s="1"/>
  <c r="AT22" i="1"/>
  <c r="AT26" i="1" s="1"/>
  <c r="AS22" i="1"/>
  <c r="AS26" i="1" s="1"/>
  <c r="AQ22" i="1"/>
  <c r="AQ26" i="1" s="1"/>
  <c r="AP22" i="1"/>
  <c r="AP26" i="1" s="1"/>
  <c r="AO22" i="1"/>
  <c r="AO26" i="1" s="1"/>
  <c r="AN22" i="1"/>
  <c r="AN26" i="1" s="1"/>
  <c r="AL22" i="1"/>
  <c r="AL26" i="1" s="1"/>
  <c r="AK22" i="1"/>
  <c r="AK26" i="1" s="1"/>
  <c r="AJ22" i="1"/>
  <c r="AJ26" i="1" s="1"/>
  <c r="AI22" i="1"/>
  <c r="AI26" i="1" s="1"/>
  <c r="AG22" i="1"/>
  <c r="AG26" i="1" s="1"/>
  <c r="AF22" i="1"/>
  <c r="AF26" i="1" s="1"/>
  <c r="AE22" i="1"/>
  <c r="AE26" i="1" s="1"/>
  <c r="AD22" i="1"/>
  <c r="AD26" i="1" s="1"/>
  <c r="AD68" i="1"/>
  <c r="AD58" i="1"/>
  <c r="AD48" i="1"/>
  <c r="AD38" i="1"/>
  <c r="AD28" i="1"/>
  <c r="C8" i="1"/>
  <c r="C7" i="1"/>
  <c r="C6" i="1"/>
  <c r="C5" i="1"/>
  <c r="C4" i="1"/>
  <c r="BA4" i="1" l="1"/>
  <c r="G10" i="1"/>
  <c r="G4" i="1"/>
  <c r="C10" i="1"/>
  <c r="BA5" i="1"/>
  <c r="G11" i="1"/>
  <c r="G5" i="1"/>
  <c r="C11" i="1"/>
  <c r="G12" i="1"/>
  <c r="G6" i="1"/>
  <c r="C12" i="1"/>
  <c r="C9" i="1"/>
  <c r="G13" i="1"/>
  <c r="G7" i="1"/>
  <c r="C13" i="1"/>
  <c r="G14" i="1"/>
  <c r="G8" i="1"/>
  <c r="C14" i="1"/>
  <c r="X8" i="1" l="1"/>
  <c r="Y8" i="1"/>
  <c r="Z8" i="1"/>
  <c r="W8" i="1"/>
  <c r="R8" i="1"/>
  <c r="S8" i="1"/>
  <c r="T8" i="1"/>
  <c r="U8" i="1"/>
  <c r="M8" i="1"/>
  <c r="N8" i="1"/>
  <c r="O8" i="1"/>
  <c r="P8" i="1"/>
  <c r="H8" i="1"/>
  <c r="I8" i="1"/>
  <c r="J8" i="1"/>
  <c r="K8" i="1"/>
  <c r="X14" i="1"/>
  <c r="Y14" i="1"/>
  <c r="Z14" i="1"/>
  <c r="W14" i="1"/>
  <c r="R14" i="1"/>
  <c r="S14" i="1"/>
  <c r="T14" i="1"/>
  <c r="U14" i="1"/>
  <c r="M14" i="1"/>
  <c r="N14" i="1"/>
  <c r="O14" i="1"/>
  <c r="P14" i="1"/>
  <c r="H14" i="1"/>
  <c r="I14" i="1"/>
  <c r="J14" i="1"/>
  <c r="K14" i="1"/>
  <c r="X7" i="1"/>
  <c r="Y7" i="1"/>
  <c r="Z7" i="1"/>
  <c r="W7" i="1"/>
  <c r="R7" i="1"/>
  <c r="S7" i="1"/>
  <c r="T7" i="1"/>
  <c r="U7" i="1"/>
  <c r="M7" i="1"/>
  <c r="N7" i="1"/>
  <c r="O7" i="1"/>
  <c r="P7" i="1"/>
  <c r="H7" i="1"/>
  <c r="I7" i="1"/>
  <c r="J7" i="1"/>
  <c r="K7" i="1"/>
  <c r="X13" i="1"/>
  <c r="Y13" i="1"/>
  <c r="Z13" i="1"/>
  <c r="W13" i="1"/>
  <c r="R13" i="1"/>
  <c r="S13" i="1"/>
  <c r="T13" i="1"/>
  <c r="U13" i="1"/>
  <c r="M13" i="1"/>
  <c r="N13" i="1"/>
  <c r="O13" i="1"/>
  <c r="P13" i="1"/>
  <c r="H13" i="1"/>
  <c r="I13" i="1"/>
  <c r="J13" i="1"/>
  <c r="K13" i="1"/>
  <c r="G15" i="1"/>
  <c r="G9" i="1"/>
  <c r="C15" i="1"/>
  <c r="AT14" i="1"/>
  <c r="AU14" i="1"/>
  <c r="AV14" i="1"/>
  <c r="AO14" i="1"/>
  <c r="AP14" i="1"/>
  <c r="AQ14" i="1"/>
  <c r="AJ14" i="1"/>
  <c r="AK14" i="1"/>
  <c r="AL14" i="1"/>
  <c r="AE14" i="1"/>
  <c r="AF14" i="1"/>
  <c r="AG14" i="1"/>
  <c r="X6" i="1"/>
  <c r="Y6" i="1"/>
  <c r="Z6" i="1"/>
  <c r="W6" i="1"/>
  <c r="R6" i="1"/>
  <c r="S6" i="1"/>
  <c r="T6" i="1"/>
  <c r="U6" i="1"/>
  <c r="M6" i="1"/>
  <c r="N6" i="1"/>
  <c r="O6" i="1"/>
  <c r="P6" i="1"/>
  <c r="H6" i="1"/>
  <c r="I6" i="1"/>
  <c r="J6" i="1"/>
  <c r="K6" i="1"/>
  <c r="X12" i="1"/>
  <c r="Y12" i="1"/>
  <c r="Z12" i="1"/>
  <c r="W12" i="1"/>
  <c r="R12" i="1"/>
  <c r="S12" i="1"/>
  <c r="T12" i="1"/>
  <c r="U12" i="1"/>
  <c r="M12" i="1"/>
  <c r="N12" i="1"/>
  <c r="O12" i="1"/>
  <c r="P12" i="1"/>
  <c r="H12" i="1"/>
  <c r="I12" i="1"/>
  <c r="J12" i="1"/>
  <c r="K12" i="1"/>
  <c r="AS13" i="1"/>
  <c r="AT13" i="1"/>
  <c r="AU13" i="1"/>
  <c r="AV13" i="1"/>
  <c r="AO13" i="1"/>
  <c r="AP13" i="1"/>
  <c r="AQ13" i="1"/>
  <c r="AN13" i="1"/>
  <c r="AI5" i="1"/>
  <c r="AJ13" i="1"/>
  <c r="AK13" i="1"/>
  <c r="AL13" i="1"/>
  <c r="AI13" i="1"/>
  <c r="AE13" i="1"/>
  <c r="AF13" i="1"/>
  <c r="AG13" i="1"/>
  <c r="AD13" i="1"/>
  <c r="AT5" i="1"/>
  <c r="AU5" i="1"/>
  <c r="AV5" i="1"/>
  <c r="AS5" i="1"/>
  <c r="AN5" i="1"/>
  <c r="AO5" i="1"/>
  <c r="AP5" i="1"/>
  <c r="AQ5" i="1"/>
  <c r="AJ5" i="1"/>
  <c r="AK5" i="1"/>
  <c r="AL5" i="1"/>
  <c r="AE5" i="1"/>
  <c r="AF5" i="1"/>
  <c r="AG5" i="1"/>
  <c r="AD5" i="1"/>
  <c r="X5" i="1"/>
  <c r="Y5" i="1"/>
  <c r="Z5" i="1"/>
  <c r="W5" i="1"/>
  <c r="R5" i="1"/>
  <c r="S5" i="1"/>
  <c r="T5" i="1"/>
  <c r="U5" i="1"/>
  <c r="M5" i="1"/>
  <c r="N5" i="1"/>
  <c r="O5" i="1"/>
  <c r="P5" i="1"/>
  <c r="H5" i="1"/>
  <c r="I5" i="1"/>
  <c r="J5" i="1"/>
  <c r="K5" i="1"/>
  <c r="X11" i="1"/>
  <c r="Y11" i="1"/>
  <c r="Z11" i="1"/>
  <c r="W11" i="1"/>
  <c r="R11" i="1"/>
  <c r="S11" i="1"/>
  <c r="T11" i="1"/>
  <c r="U11" i="1"/>
  <c r="M11" i="1"/>
  <c r="N11" i="1"/>
  <c r="O11" i="1"/>
  <c r="P11" i="1"/>
  <c r="H11" i="1"/>
  <c r="I11" i="1"/>
  <c r="J11" i="1"/>
  <c r="K11" i="1"/>
  <c r="AS4" i="1"/>
  <c r="AN4" i="1"/>
  <c r="AI4" i="1"/>
  <c r="AT4" i="1"/>
  <c r="AU4" i="1"/>
  <c r="AV4" i="1"/>
  <c r="AP4" i="1"/>
  <c r="AQ4" i="1"/>
  <c r="AO4" i="1"/>
  <c r="AJ4" i="1"/>
  <c r="AK4" i="1"/>
  <c r="AL4" i="1"/>
  <c r="AF4" i="1"/>
  <c r="AG4" i="1"/>
  <c r="AE4" i="1"/>
  <c r="X4" i="1"/>
  <c r="Y4" i="1"/>
  <c r="Z4" i="1"/>
  <c r="W4" i="1"/>
  <c r="T4" i="1"/>
  <c r="U4" i="1"/>
  <c r="S4" i="1"/>
  <c r="R4" i="1"/>
  <c r="O4" i="1"/>
  <c r="P4" i="1"/>
  <c r="N4" i="1"/>
  <c r="M4" i="1"/>
  <c r="J4" i="1"/>
  <c r="K4" i="1"/>
  <c r="I4" i="1"/>
  <c r="H4" i="1"/>
  <c r="X10" i="1"/>
  <c r="Y10" i="1"/>
  <c r="Z10" i="1"/>
  <c r="W10" i="1"/>
  <c r="R10" i="1"/>
  <c r="S10" i="1"/>
  <c r="T10" i="1"/>
  <c r="U10" i="1"/>
  <c r="M10" i="1"/>
  <c r="N10" i="1"/>
  <c r="O10" i="1"/>
  <c r="P10" i="1"/>
  <c r="H10" i="1"/>
  <c r="I10" i="1"/>
  <c r="J10" i="1"/>
  <c r="K10" i="1"/>
  <c r="AV7" i="1" l="1"/>
  <c r="AU3" i="1"/>
  <c r="AT3" i="1" s="1"/>
  <c r="AU7" i="1"/>
  <c r="AS3" i="1"/>
  <c r="AT7" i="1"/>
  <c r="AQ3" i="1"/>
  <c r="AU12" i="1"/>
  <c r="AV16" i="1"/>
  <c r="X9" i="1"/>
  <c r="Y9" i="1"/>
  <c r="Z9" i="1"/>
  <c r="W9" i="1"/>
  <c r="R9" i="1"/>
  <c r="S9" i="1"/>
  <c r="T9" i="1"/>
  <c r="U9" i="1"/>
  <c r="M9" i="1"/>
  <c r="N9" i="1"/>
  <c r="O9" i="1"/>
  <c r="P9" i="1"/>
  <c r="H9" i="1"/>
  <c r="I9" i="1"/>
  <c r="J9" i="1"/>
  <c r="K9" i="1"/>
  <c r="X15" i="1"/>
  <c r="Y15" i="1"/>
  <c r="Z15" i="1"/>
  <c r="W15" i="1"/>
  <c r="R15" i="1"/>
  <c r="S15" i="1"/>
  <c r="T15" i="1"/>
  <c r="U15" i="1"/>
  <c r="M15" i="1"/>
  <c r="N15" i="1"/>
  <c r="O15" i="1"/>
  <c r="P15" i="1"/>
  <c r="H15" i="1"/>
  <c r="I15" i="1"/>
  <c r="J15" i="1"/>
  <c r="K15" i="1"/>
  <c r="AQ7" i="1"/>
  <c r="AP3" i="1"/>
  <c r="AT12" i="1" l="1"/>
  <c r="AU16" i="1"/>
  <c r="AS7" i="1"/>
  <c r="AO3" i="1"/>
  <c r="AN3" i="1" s="1"/>
  <c r="AP7" i="1"/>
  <c r="AT16" i="1" l="1"/>
  <c r="AS12" i="1"/>
  <c r="AL3" i="1"/>
  <c r="AN7" i="1"/>
  <c r="AO7" i="1"/>
  <c r="AQ12" i="1" l="1"/>
  <c r="AS16" i="1"/>
  <c r="AL7" i="1"/>
  <c r="AK3" i="1"/>
  <c r="AP12" i="1" l="1"/>
  <c r="AQ16" i="1"/>
  <c r="AJ3" i="1"/>
  <c r="AK7" i="1"/>
  <c r="AO12" i="1" l="1"/>
  <c r="AP16" i="1"/>
  <c r="AI3" i="1"/>
  <c r="AI7" i="1" s="1"/>
  <c r="AJ7" i="1"/>
  <c r="AN12" i="1" l="1"/>
  <c r="AO16" i="1"/>
  <c r="AG3" i="1"/>
  <c r="AN16" i="1" l="1"/>
  <c r="AL12" i="1"/>
  <c r="AG7" i="1"/>
  <c r="AF3" i="1"/>
  <c r="AL16" i="1" l="1"/>
  <c r="AK12" i="1"/>
  <c r="AF7" i="1"/>
  <c r="AE3" i="1"/>
  <c r="AJ12" i="1" l="1"/>
  <c r="AK16" i="1"/>
  <c r="AD3" i="1"/>
  <c r="AD7" i="1" s="1"/>
  <c r="AE7" i="1"/>
  <c r="AJ16" i="1" l="1"/>
  <c r="AI12" i="1"/>
  <c r="AM9" i="1"/>
  <c r="AD9" i="1"/>
  <c r="AI16" i="1" l="1"/>
  <c r="AG12" i="1"/>
  <c r="AP9" i="1"/>
  <c r="AF12" i="1" l="1"/>
  <c r="AG16" i="1"/>
  <c r="AE12" i="1" l="1"/>
  <c r="AF16" i="1"/>
  <c r="AD12" i="1" l="1"/>
  <c r="AE16" i="1"/>
  <c r="AD16" i="1" l="1"/>
  <c r="AD18" i="1"/>
  <c r="AP18" i="1" l="1"/>
</calcChain>
</file>

<file path=xl/sharedStrings.xml><?xml version="1.0" encoding="utf-8"?>
<sst xmlns="http://schemas.openxmlformats.org/spreadsheetml/2006/main" count="377" uniqueCount="77">
  <si>
    <t>A =</t>
  </si>
  <si>
    <t xml:space="preserve">C = </t>
  </si>
  <si>
    <t xml:space="preserve">X1 = </t>
  </si>
  <si>
    <t xml:space="preserve">B1 = </t>
  </si>
  <si>
    <t>.</t>
  </si>
  <si>
    <t>B1</t>
  </si>
  <si>
    <t>X1</t>
  </si>
  <si>
    <t xml:space="preserve">X2 = </t>
  </si>
  <si>
    <t xml:space="preserve">B2 = </t>
  </si>
  <si>
    <t>+</t>
  </si>
  <si>
    <t>B2</t>
  </si>
  <si>
    <t>X2</t>
  </si>
  <si>
    <t xml:space="preserve">X3 = </t>
  </si>
  <si>
    <t>A + C</t>
  </si>
  <si>
    <t xml:space="preserve">B3 = </t>
  </si>
  <si>
    <t>-------------</t>
  </si>
  <si>
    <t>---</t>
  </si>
  <si>
    <t xml:space="preserve">X4 = </t>
  </si>
  <si>
    <t>A + C + C =</t>
  </si>
  <si>
    <t xml:space="preserve">B4 = </t>
  </si>
  <si>
    <t>=</t>
  </si>
  <si>
    <t xml:space="preserve">X5 = </t>
  </si>
  <si>
    <t xml:space="preserve">C - A = </t>
  </si>
  <si>
    <t xml:space="preserve">B5 = </t>
  </si>
  <si>
    <t xml:space="preserve">X6 = </t>
  </si>
  <si>
    <t>65536 - X4</t>
  </si>
  <si>
    <t xml:space="preserve">B6 = </t>
  </si>
  <si>
    <t>CF =</t>
  </si>
  <si>
    <t xml:space="preserve">PF = </t>
  </si>
  <si>
    <t xml:space="preserve">AF = </t>
  </si>
  <si>
    <t xml:space="preserve">ZF = </t>
  </si>
  <si>
    <t xml:space="preserve">SF = </t>
  </si>
  <si>
    <t xml:space="preserve">OF = </t>
  </si>
  <si>
    <t>Correct result</t>
  </si>
  <si>
    <t xml:space="preserve">X7 = </t>
  </si>
  <si>
    <t xml:space="preserve">-X1 = </t>
  </si>
  <si>
    <t xml:space="preserve">B7 = </t>
  </si>
  <si>
    <t>-B1</t>
  </si>
  <si>
    <t xml:space="preserve">X8 = </t>
  </si>
  <si>
    <t xml:space="preserve">-X2 = </t>
  </si>
  <si>
    <t xml:space="preserve">B8 = </t>
  </si>
  <si>
    <t>-B2</t>
  </si>
  <si>
    <t xml:space="preserve">X9 = </t>
  </si>
  <si>
    <t xml:space="preserve">-X3 = </t>
  </si>
  <si>
    <t xml:space="preserve">B9 = </t>
  </si>
  <si>
    <t>-B3</t>
  </si>
  <si>
    <t xml:space="preserve">X10 = </t>
  </si>
  <si>
    <t xml:space="preserve">-X4 = </t>
  </si>
  <si>
    <t xml:space="preserve">B10 = </t>
  </si>
  <si>
    <t>-B4</t>
  </si>
  <si>
    <t xml:space="preserve">X11 = </t>
  </si>
  <si>
    <t xml:space="preserve">-X5 = </t>
  </si>
  <si>
    <t xml:space="preserve">B11 = </t>
  </si>
  <si>
    <t>-B5</t>
  </si>
  <si>
    <t>B3</t>
  </si>
  <si>
    <t>X3</t>
  </si>
  <si>
    <t xml:space="preserve">X12 = </t>
  </si>
  <si>
    <t xml:space="preserve">-X6 = </t>
  </si>
  <si>
    <t xml:space="preserve">B12 = </t>
  </si>
  <si>
    <t>-B6</t>
  </si>
  <si>
    <t xml:space="preserve">CF = </t>
  </si>
  <si>
    <t>B7</t>
  </si>
  <si>
    <t>X7</t>
  </si>
  <si>
    <t>Correct result, transfer from high order isn't considered</t>
  </si>
  <si>
    <t>B8</t>
  </si>
  <si>
    <t>X8</t>
  </si>
  <si>
    <t xml:space="preserve">Addition result is negative, overflow </t>
  </si>
  <si>
    <t>B9</t>
  </si>
  <si>
    <t>X9</t>
  </si>
  <si>
    <t xml:space="preserve">Addition result is positive, overflow </t>
  </si>
  <si>
    <t>B11</t>
  </si>
  <si>
    <t>X11</t>
  </si>
  <si>
    <t>X4</t>
  </si>
  <si>
    <t>X5</t>
  </si>
  <si>
    <t>X6</t>
  </si>
  <si>
    <t>X10</t>
  </si>
  <si>
    <t>X12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</si>
</sst>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444444"/>
      <name val="Calibri"/>
      <family val="2"/>
      <charset val="1"/>
    </font>
    <font>
      <sz val="11"/>
      <color rgb="FFFF0000"/>
      <name val="Calibri"/>
      <family val="2"/>
      <scheme val="minor"/>
    </font>
    <font>
      <sz val="11"/>
      <color rgb="FFFF0000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quotePrefix="1"/>
    <xf numFmtId="0" fontId="1" fillId="0" borderId="0" xfId="0" quotePrefix="1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/>
    <xf numFmtId="0" fontId="2" fillId="0" borderId="0" xfId="0" applyFont="1"/>
    <xf numFmtId="0" fontId="0" fillId="2" borderId="0" xfId="0" applyFill="1"/>
    <xf numFmtId="0" fontId="1" fillId="2" borderId="0" xfId="0" quotePrefix="1" applyFont="1" applyFill="1"/>
    <xf numFmtId="0" fontId="3" fillId="0" borderId="0" xfId="0" quotePrefix="1" applyFont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Лист2!$A$2:$A$13</c:f>
              <c:strCache>
                <c:ptCount val="12"/>
                <c:pt idx="0">
                  <c:v>X1</c:v>
                </c:pt>
                <c:pt idx="1">
                  <c:v>X2</c:v>
                </c:pt>
                <c:pt idx="2">
                  <c:v>X3</c:v>
                </c:pt>
                <c:pt idx="3">
                  <c:v>X4</c:v>
                </c:pt>
                <c:pt idx="4">
                  <c:v>X5</c:v>
                </c:pt>
                <c:pt idx="5">
                  <c:v>X6</c:v>
                </c:pt>
                <c:pt idx="6">
                  <c:v>X7</c:v>
                </c:pt>
                <c:pt idx="7">
                  <c:v>X8</c:v>
                </c:pt>
                <c:pt idx="8">
                  <c:v>X9</c:v>
                </c:pt>
                <c:pt idx="9">
                  <c:v>X10</c:v>
                </c:pt>
                <c:pt idx="10">
                  <c:v>X11</c:v>
                </c:pt>
                <c:pt idx="11">
                  <c:v>X12</c:v>
                </c:pt>
              </c:strCache>
            </c:strRef>
          </c:cat>
          <c:val>
            <c:numRef>
              <c:f>Лист2!$B$2:$B$13</c:f>
              <c:numCache>
                <c:formatCode>General</c:formatCode>
                <c:ptCount val="12"/>
                <c:pt idx="0">
                  <c:v>7389</c:v>
                </c:pt>
                <c:pt idx="1">
                  <c:v>17178</c:v>
                </c:pt>
                <c:pt idx="2">
                  <c:v>24567</c:v>
                </c:pt>
                <c:pt idx="3">
                  <c:v>41745</c:v>
                </c:pt>
                <c:pt idx="4">
                  <c:v>9789</c:v>
                </c:pt>
                <c:pt idx="5">
                  <c:v>23791</c:v>
                </c:pt>
                <c:pt idx="6">
                  <c:v>-7389</c:v>
                </c:pt>
                <c:pt idx="7">
                  <c:v>-17178</c:v>
                </c:pt>
                <c:pt idx="8">
                  <c:v>-24567</c:v>
                </c:pt>
                <c:pt idx="9">
                  <c:v>-41745</c:v>
                </c:pt>
                <c:pt idx="10">
                  <c:v>-9789</c:v>
                </c:pt>
                <c:pt idx="11">
                  <c:v>-23791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BD-4397-B0E9-CF98D1ED6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Название диаграммы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Лист2!$B$2:$B$7</c:f>
              <c:strCache>
                <c:ptCount val="6"/>
                <c:pt idx="0">
                  <c:v>7389</c:v>
                </c:pt>
                <c:pt idx="1">
                  <c:v>17178</c:v>
                </c:pt>
                <c:pt idx="2">
                  <c:v>24567</c:v>
                </c:pt>
                <c:pt idx="3">
                  <c:v>41745</c:v>
                </c:pt>
                <c:pt idx="4">
                  <c:v>9789</c:v>
                </c:pt>
                <c:pt idx="5">
                  <c:v>23791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Лист2!$B$8:$B$13</c15:sqref>
                  </c15:fullRef>
                </c:ext>
              </c:extLst>
              <c:f>Лист2!$B$8:$B$13</c:f>
              <c:numCache>
                <c:formatCode>General</c:formatCode>
                <c:ptCount val="6"/>
                <c:pt idx="0">
                  <c:v>-7389</c:v>
                </c:pt>
                <c:pt idx="1">
                  <c:v>-17178</c:v>
                </c:pt>
                <c:pt idx="2">
                  <c:v>-24567</c:v>
                </c:pt>
                <c:pt idx="3">
                  <c:v>-41745</c:v>
                </c:pt>
                <c:pt idx="4">
                  <c:v>-9789</c:v>
                </c:pt>
                <c:pt idx="5">
                  <c:v>-23791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Лист2!$B$2:$B$13</c15:sqref>
                  </c15:fullRef>
                </c:ext>
              </c:extLst>
              <c:f>Лист2!$B$2:$B$7</c:f>
              <c:numCache>
                <c:formatCode>General</c:formatCode>
                <c:ptCount val="6"/>
                <c:pt idx="0">
                  <c:v>7389</c:v>
                </c:pt>
                <c:pt idx="1">
                  <c:v>17178</c:v>
                </c:pt>
                <c:pt idx="2">
                  <c:v>24567</c:v>
                </c:pt>
                <c:pt idx="3">
                  <c:v>41745</c:v>
                </c:pt>
                <c:pt idx="4">
                  <c:v>9789</c:v>
                </c:pt>
                <c:pt idx="5">
                  <c:v>23791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2F-4599-98DF-D8EA443F8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9360"/>
        <c:axId val="116785648"/>
      </c:lineChart>
      <c:catAx>
        <c:axId val="11680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6785648"/>
        <c:crosses val="autoZero"/>
        <c:auto val="1"/>
        <c:lblAlgn val="ctr"/>
        <c:lblOffset val="100"/>
        <c:noMultiLvlLbl val="0"/>
      </c:catAx>
      <c:valAx>
        <c:axId val="11678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680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1</xdr:row>
      <xdr:rowOff>0</xdr:rowOff>
    </xdr:from>
    <xdr:to>
      <xdr:col>11</xdr:col>
      <xdr:colOff>381000</xdr:colOff>
      <xdr:row>16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722B5B85-F5E0-3DEF-DFA0-9365DD339F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381000</xdr:colOff>
      <xdr:row>1</xdr:row>
      <xdr:rowOff>68580</xdr:rowOff>
    </xdr:from>
    <xdr:to>
      <xdr:col>20</xdr:col>
      <xdr:colOff>76200</xdr:colOff>
      <xdr:row>16</xdr:row>
      <xdr:rowOff>68580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AD251B7-B7E8-493E-460B-8F797D5879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A68"/>
  <sheetViews>
    <sheetView tabSelected="1" workbookViewId="0">
      <selection activeCell="F1" sqref="F1"/>
    </sheetView>
  </sheetViews>
  <sheetFormatPr defaultRowHeight="14.4" x14ac:dyDescent="0.3"/>
  <cols>
    <col min="7" max="7" width="19.109375" customWidth="1"/>
    <col min="8" max="8" width="4.33203125" customWidth="1"/>
    <col min="9" max="9" width="3.33203125" customWidth="1"/>
    <col min="10" max="10" width="3" customWidth="1"/>
    <col min="11" max="11" width="3.109375" customWidth="1"/>
    <col min="12" max="12" width="4.33203125" customWidth="1"/>
    <col min="13" max="14" width="4" customWidth="1"/>
    <col min="15" max="15" width="3.33203125" customWidth="1"/>
    <col min="16" max="16" width="3.5546875" customWidth="1"/>
    <col min="17" max="17" width="4.109375" customWidth="1"/>
    <col min="18" max="18" width="4.33203125" customWidth="1"/>
    <col min="19" max="19" width="4" customWidth="1"/>
    <col min="20" max="20" width="3.44140625" customWidth="1"/>
    <col min="21" max="21" width="3.5546875" customWidth="1"/>
    <col min="22" max="22" width="4.44140625" customWidth="1"/>
    <col min="23" max="23" width="4.33203125" customWidth="1"/>
    <col min="24" max="24" width="4" customWidth="1"/>
    <col min="25" max="25" width="4.5546875" customWidth="1"/>
    <col min="26" max="26" width="4" customWidth="1"/>
    <col min="30" max="30" width="4.33203125" customWidth="1"/>
    <col min="31" max="31" width="3.109375" customWidth="1"/>
    <col min="32" max="32" width="3.5546875" customWidth="1"/>
    <col min="33" max="33" width="3.88671875" customWidth="1"/>
    <col min="34" max="34" width="4" customWidth="1"/>
    <col min="35" max="35" width="3.44140625" customWidth="1"/>
    <col min="36" max="36" width="3.6640625" customWidth="1"/>
    <col min="37" max="37" width="3.88671875" customWidth="1"/>
    <col min="38" max="38" width="3.44140625" customWidth="1"/>
    <col min="39" max="39" width="3.5546875" customWidth="1"/>
    <col min="40" max="40" width="4.109375" customWidth="1"/>
    <col min="41" max="41" width="4" customWidth="1"/>
    <col min="42" max="42" width="3.6640625" customWidth="1"/>
    <col min="43" max="43" width="3.44140625" customWidth="1"/>
    <col min="44" max="44" width="3.88671875" customWidth="1"/>
    <col min="45" max="45" width="3.5546875" customWidth="1"/>
    <col min="46" max="46" width="3.88671875" customWidth="1"/>
    <col min="47" max="47" width="3.6640625" customWidth="1"/>
    <col min="48" max="48" width="3.33203125" customWidth="1"/>
    <col min="49" max="49" width="12.33203125" customWidth="1"/>
    <col min="50" max="50" width="10.6640625" customWidth="1"/>
    <col min="52" max="52" width="3.88671875" customWidth="1"/>
  </cols>
  <sheetData>
    <row r="1" spans="1:53" x14ac:dyDescent="0.3">
      <c r="B1" t="s">
        <v>0</v>
      </c>
      <c r="C1">
        <v>7389</v>
      </c>
    </row>
    <row r="2" spans="1:53" x14ac:dyDescent="0.3">
      <c r="B2" t="s">
        <v>1</v>
      </c>
      <c r="C2">
        <v>17178</v>
      </c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53" x14ac:dyDescent="0.3">
      <c r="AC3" s="3"/>
      <c r="AD3" s="3">
        <f>IF(OR(AE4+AE5 &gt; 1, AE3 + AE4 &gt; 1, AE3 + AE5 &gt; 1), 1, 0)</f>
        <v>0</v>
      </c>
      <c r="AE3" s="3">
        <f>IF(OR(AF4+AF5 &gt; 1, AF3 + AF4 &gt; 1, AF3 + AF5 &gt; 1), 1, 0)</f>
        <v>0</v>
      </c>
      <c r="AF3" s="3">
        <f>IF(OR(AG4+AG5 &gt; 1, AG3 + AG4 &gt; 1, AG3 + AG5 &gt; 1), 1, 0)</f>
        <v>0</v>
      </c>
      <c r="AG3" s="3">
        <f>IF(OR(AI4+AI5 &gt; 1, AI3 + AI4 &gt; 1, AI3 + AI5 &gt; 1), 1, 0)</f>
        <v>0</v>
      </c>
      <c r="AH3" s="3"/>
      <c r="AI3" s="3">
        <f>IF(OR(AJ4+AJ5 &gt; 1, AJ3 + AJ4 &gt; 1, AJ3 + AJ5 &gt; 1), 1, 0)</f>
        <v>0</v>
      </c>
      <c r="AJ3" s="3">
        <f t="shared" ref="AJ3:AK3" si="0">IF(OR(AK4+AK5 &gt; 1, AK3 + AK4 &gt; 1, AK3 + AK5 &gt; 1), 1, 0)</f>
        <v>0</v>
      </c>
      <c r="AK3" s="3">
        <f t="shared" si="0"/>
        <v>0</v>
      </c>
      <c r="AL3" s="3">
        <f>IF(OR(AN4+AN5 &gt; 1, AN3 + AN4 &gt; 1, AN3 + AN5 &gt; 1), 1, 0)</f>
        <v>0</v>
      </c>
      <c r="AM3" s="3"/>
      <c r="AN3" s="3">
        <f>IF(OR(AO4+AO5 &gt; 1, AO3 + AO4 &gt; 1, AO3 + AO5 &gt; 1), 1, 0)</f>
        <v>0</v>
      </c>
      <c r="AO3" s="3">
        <f t="shared" ref="AO3:AP3" si="1">IF(OR(AP4+AP5 &gt; 1, AP3 + AP4 &gt; 1, AP3 + AP5 &gt; 1), 1, 0)</f>
        <v>0</v>
      </c>
      <c r="AP3" s="3">
        <f t="shared" si="1"/>
        <v>1</v>
      </c>
      <c r="AQ3" s="3">
        <f>IF(OR(AS4+AS5 &gt; 1, AS3 + AS4 &gt; 1, AS3 + AS5 &gt; 1), 1, 0)</f>
        <v>1</v>
      </c>
      <c r="AR3" s="3"/>
      <c r="AS3" s="3">
        <f>IF(OR(AT4+AT5 &gt; 1, AT3 + AT4 &gt; 1, AT3 + AT5 &gt; 1), 1, 0)</f>
        <v>0</v>
      </c>
      <c r="AT3" s="3">
        <f t="shared" ref="AT3:AU3" si="2">IF(OR(AU4+AU5 &gt; 1, AU3 + AU4 &gt; 1, AU3 + AU5 &gt; 1), 1, 0)</f>
        <v>0</v>
      </c>
      <c r="AU3" s="3">
        <f t="shared" si="2"/>
        <v>0</v>
      </c>
      <c r="AV3" s="3"/>
      <c r="AW3" s="3"/>
    </row>
    <row r="4" spans="1:53" x14ac:dyDescent="0.3">
      <c r="A4" t="s">
        <v>2</v>
      </c>
      <c r="B4" t="s">
        <v>0</v>
      </c>
      <c r="C4">
        <f xml:space="preserve"> C1</f>
        <v>7389</v>
      </c>
      <c r="E4" t="s">
        <v>3</v>
      </c>
      <c r="G4" t="str">
        <f>_xlfn.BASE(C4,2,16)</f>
        <v>0001110011011101</v>
      </c>
      <c r="H4" s="6" t="str">
        <f>MID($G4, COLUMN() - (COLUMN($H4) - 1), 1)</f>
        <v>0</v>
      </c>
      <c r="I4" s="6" t="str">
        <f>MID($G4, COLUMN() - (COLUMN($H4) - 1), 1)</f>
        <v>0</v>
      </c>
      <c r="J4" s="6" t="str">
        <f>MID($G4, COLUMN() - (COLUMN($H4) - 1), 1)</f>
        <v>0</v>
      </c>
      <c r="K4" s="7" t="str">
        <f>MID($G4, COLUMN() - (COLUMN($H4) - 1), 1)</f>
        <v>1</v>
      </c>
      <c r="L4" t="s">
        <v>4</v>
      </c>
      <c r="M4" s="8" t="str">
        <f>MID($G4, COLUMN() - (COLUMN($M4) - 5), 1)</f>
        <v>1</v>
      </c>
      <c r="N4" s="8" t="str">
        <f>MID($G4, COLUMN() - (COLUMN($M4) - 5), 1)</f>
        <v>1</v>
      </c>
      <c r="O4" s="9" t="str">
        <f>MID($G4, COLUMN() - (COLUMN($M4) - 5), 1)</f>
        <v>0</v>
      </c>
      <c r="P4" s="9" t="str">
        <f>MID($G4, COLUMN() - (COLUMN($M4) - 5), 1)</f>
        <v>0</v>
      </c>
      <c r="Q4" t="s">
        <v>4</v>
      </c>
      <c r="R4" s="7" t="str">
        <f>MID($G4, COLUMN() - (COLUMN($R4) - 9), 1)</f>
        <v>1</v>
      </c>
      <c r="S4" s="7" t="str">
        <f>MID($G4, COLUMN() - (COLUMN($R4) - 9), 1)</f>
        <v>1</v>
      </c>
      <c r="T4" s="6" t="str">
        <f>MID($G4, COLUMN() - (COLUMN($R4) - 9), 1)</f>
        <v>0</v>
      </c>
      <c r="U4" s="7" t="str">
        <f>MID($G4, COLUMN() - (COLUMN($R4) - 9), 1)</f>
        <v>1</v>
      </c>
      <c r="V4" t="s">
        <v>4</v>
      </c>
      <c r="W4" s="7" t="str">
        <f>MID($G4, COLUMN() - (COLUMN($W4) - 13), 1)</f>
        <v>1</v>
      </c>
      <c r="X4" s="7" t="str">
        <f t="shared" ref="X4:Z5" si="3">MID($G4, COLUMN() - (COLUMN($W4) - 13), 1)</f>
        <v>1</v>
      </c>
      <c r="Y4" s="6" t="str">
        <f t="shared" si="3"/>
        <v>0</v>
      </c>
      <c r="Z4" s="7" t="str">
        <f t="shared" si="3"/>
        <v>1</v>
      </c>
      <c r="AC4" s="3" t="s">
        <v>5</v>
      </c>
      <c r="AD4" s="3" t="str">
        <f>MID($G4, COLUMN() - (COLUMN($AD4) - 1), 1)</f>
        <v>0</v>
      </c>
      <c r="AE4" s="3" t="str">
        <f>MID($G4, COLUMN() - (COLUMN($AD4) - 1), 1)</f>
        <v>0</v>
      </c>
      <c r="AF4" s="3" t="str">
        <f>MID($G4, COLUMN() - (COLUMN($AD4) - 1), 1)</f>
        <v>0</v>
      </c>
      <c r="AG4" s="3" t="str">
        <f>MID($G4, COLUMN() - (COLUMN($AD4) - 1), 1)</f>
        <v>1</v>
      </c>
      <c r="AH4" s="3" t="s">
        <v>4</v>
      </c>
      <c r="AI4" s="3" t="str">
        <f>MID($G4, COLUMN() - (COLUMN($AI4) - 5), 1)</f>
        <v>1</v>
      </c>
      <c r="AJ4" s="3" t="str">
        <f t="shared" ref="AJ4:AL5" si="4">MID($G4, COLUMN() - (COLUMN($AI4) - 5), 1)</f>
        <v>1</v>
      </c>
      <c r="AK4" s="3" t="str">
        <f t="shared" si="4"/>
        <v>0</v>
      </c>
      <c r="AL4" s="3" t="str">
        <f t="shared" si="4"/>
        <v>0</v>
      </c>
      <c r="AM4" s="3" t="s">
        <v>4</v>
      </c>
      <c r="AN4" s="3" t="str">
        <f t="shared" ref="AN4:AQ5" si="5">MID($G4, COLUMN() - (COLUMN($AN4) - 9), 1)</f>
        <v>1</v>
      </c>
      <c r="AO4" s="3" t="str">
        <f t="shared" si="5"/>
        <v>1</v>
      </c>
      <c r="AP4" s="3" t="str">
        <f t="shared" si="5"/>
        <v>0</v>
      </c>
      <c r="AQ4" s="3" t="str">
        <f t="shared" si="5"/>
        <v>1</v>
      </c>
      <c r="AR4" s="3" t="s">
        <v>4</v>
      </c>
      <c r="AS4" s="3" t="str">
        <f>MID($G4, COLUMN() - (COLUMN($AS4) - 13), 1)</f>
        <v>1</v>
      </c>
      <c r="AT4" s="3" t="str">
        <f t="shared" ref="AT4:AV5" si="6">MID($G4, COLUMN() - (COLUMN($AS4) - 13), 1)</f>
        <v>1</v>
      </c>
      <c r="AU4" s="3" t="str">
        <f t="shared" si="6"/>
        <v>0</v>
      </c>
      <c r="AV4" s="3" t="str">
        <f t="shared" si="6"/>
        <v>1</v>
      </c>
      <c r="AW4" s="3"/>
      <c r="AZ4" t="s">
        <v>6</v>
      </c>
      <c r="BA4">
        <f xml:space="preserve"> C4</f>
        <v>7389</v>
      </c>
    </row>
    <row r="5" spans="1:53" x14ac:dyDescent="0.3">
      <c r="A5" t="s">
        <v>7</v>
      </c>
      <c r="B5" t="s">
        <v>1</v>
      </c>
      <c r="C5">
        <f xml:space="preserve"> C2</f>
        <v>17178</v>
      </c>
      <c r="E5" t="s">
        <v>8</v>
      </c>
      <c r="G5" t="str">
        <f>_xlfn.BASE(C5,2,16)</f>
        <v>0100001100011010</v>
      </c>
      <c r="H5" s="6" t="str">
        <f t="shared" ref="H5:K15" si="7">MID($G5, COLUMN() - (COLUMN($H5) - 1), 1)</f>
        <v>0</v>
      </c>
      <c r="I5" s="7" t="str">
        <f t="shared" si="7"/>
        <v>1</v>
      </c>
      <c r="J5" s="6" t="str">
        <f t="shared" si="7"/>
        <v>0</v>
      </c>
      <c r="K5" s="6" t="str">
        <f t="shared" si="7"/>
        <v>0</v>
      </c>
      <c r="L5" t="s">
        <v>4</v>
      </c>
      <c r="M5" s="9" t="str">
        <f t="shared" ref="M5:P15" si="8">MID($G5, COLUMN() - (COLUMN($M5) - 5), 1)</f>
        <v>0</v>
      </c>
      <c r="N5" s="9" t="str">
        <f t="shared" si="8"/>
        <v>0</v>
      </c>
      <c r="O5" s="8" t="str">
        <f t="shared" si="8"/>
        <v>1</v>
      </c>
      <c r="P5" s="8" t="str">
        <f t="shared" si="8"/>
        <v>1</v>
      </c>
      <c r="Q5" t="s">
        <v>4</v>
      </c>
      <c r="R5" s="6" t="str">
        <f t="shared" ref="R5:U15" si="9">MID($G5, COLUMN() - (COLUMN($R5) - 9), 1)</f>
        <v>0</v>
      </c>
      <c r="S5" s="6" t="str">
        <f t="shared" si="9"/>
        <v>0</v>
      </c>
      <c r="T5" s="6" t="str">
        <f t="shared" si="9"/>
        <v>0</v>
      </c>
      <c r="U5" s="7" t="str">
        <f t="shared" si="9"/>
        <v>1</v>
      </c>
      <c r="V5" t="s">
        <v>4</v>
      </c>
      <c r="W5" s="7" t="str">
        <f>MID($G5, COLUMN() - (COLUMN($W5) - 13), 1)</f>
        <v>1</v>
      </c>
      <c r="X5" s="6" t="str">
        <f t="shared" si="3"/>
        <v>0</v>
      </c>
      <c r="Y5" s="7" t="str">
        <f t="shared" si="3"/>
        <v>1</v>
      </c>
      <c r="Z5" s="6" t="str">
        <f t="shared" si="3"/>
        <v>0</v>
      </c>
      <c r="AB5" s="1" t="s">
        <v>9</v>
      </c>
      <c r="AC5" s="3" t="s">
        <v>10</v>
      </c>
      <c r="AD5" s="3" t="str">
        <f>MID($G5, COLUMN() - (COLUMN($AD5) - 1), 1)</f>
        <v>0</v>
      </c>
      <c r="AE5" s="3" t="str">
        <f t="shared" ref="AE5:AG5" si="10">MID($G5, COLUMN() - (COLUMN($AD5) - 1), 1)</f>
        <v>1</v>
      </c>
      <c r="AF5" s="3" t="str">
        <f t="shared" si="10"/>
        <v>0</v>
      </c>
      <c r="AG5" s="3" t="str">
        <f t="shared" si="10"/>
        <v>0</v>
      </c>
      <c r="AH5" s="3" t="s">
        <v>4</v>
      </c>
      <c r="AI5" s="3" t="str">
        <f>MID($G5, COLUMN() - (COLUMN($AI5) - 5), 1)</f>
        <v>0</v>
      </c>
      <c r="AJ5" s="3" t="str">
        <f t="shared" si="4"/>
        <v>0</v>
      </c>
      <c r="AK5" s="3" t="str">
        <f t="shared" si="4"/>
        <v>1</v>
      </c>
      <c r="AL5" s="3" t="str">
        <f t="shared" si="4"/>
        <v>1</v>
      </c>
      <c r="AM5" s="3" t="s">
        <v>4</v>
      </c>
      <c r="AN5" s="3" t="str">
        <f t="shared" si="5"/>
        <v>0</v>
      </c>
      <c r="AO5" s="3" t="str">
        <f t="shared" si="5"/>
        <v>0</v>
      </c>
      <c r="AP5" s="3" t="str">
        <f t="shared" si="5"/>
        <v>0</v>
      </c>
      <c r="AQ5" s="3" t="str">
        <f t="shared" si="5"/>
        <v>1</v>
      </c>
      <c r="AR5" s="3" t="s">
        <v>4</v>
      </c>
      <c r="AS5" s="3" t="str">
        <f>MID($G5, COLUMN() - (COLUMN($AS5) - 13), 1)</f>
        <v>1</v>
      </c>
      <c r="AT5" s="3" t="str">
        <f t="shared" si="6"/>
        <v>0</v>
      </c>
      <c r="AU5" s="3" t="str">
        <f t="shared" si="6"/>
        <v>1</v>
      </c>
      <c r="AV5" s="3" t="str">
        <f t="shared" si="6"/>
        <v>0</v>
      </c>
      <c r="AW5" s="3"/>
      <c r="AY5" s="1" t="s">
        <v>9</v>
      </c>
      <c r="AZ5" t="s">
        <v>11</v>
      </c>
      <c r="BA5">
        <f xml:space="preserve"> C5</f>
        <v>17178</v>
      </c>
    </row>
    <row r="6" spans="1:53" x14ac:dyDescent="0.3">
      <c r="A6" t="s">
        <v>12</v>
      </c>
      <c r="B6" t="s">
        <v>13</v>
      </c>
      <c r="C6">
        <f xml:space="preserve"> C1 + C2</f>
        <v>24567</v>
      </c>
      <c r="E6" t="s">
        <v>14</v>
      </c>
      <c r="G6" t="str">
        <f t="shared" ref="G6:G9" si="11">_xlfn.BASE(C6,2,16)</f>
        <v>0101111111110111</v>
      </c>
      <c r="H6" s="6" t="str">
        <f t="shared" si="7"/>
        <v>0</v>
      </c>
      <c r="I6" s="7" t="str">
        <f t="shared" si="7"/>
        <v>1</v>
      </c>
      <c r="J6" s="6" t="str">
        <f t="shared" si="7"/>
        <v>0</v>
      </c>
      <c r="K6" s="7" t="str">
        <f t="shared" si="7"/>
        <v>1</v>
      </c>
      <c r="L6" t="s">
        <v>4</v>
      </c>
      <c r="M6" s="8" t="str">
        <f t="shared" si="8"/>
        <v>1</v>
      </c>
      <c r="N6" s="8" t="str">
        <f t="shared" si="8"/>
        <v>1</v>
      </c>
      <c r="O6" s="8" t="str">
        <f t="shared" si="8"/>
        <v>1</v>
      </c>
      <c r="P6" s="8" t="str">
        <f t="shared" si="8"/>
        <v>1</v>
      </c>
      <c r="Q6" t="s">
        <v>4</v>
      </c>
      <c r="R6" s="7" t="str">
        <f t="shared" si="9"/>
        <v>1</v>
      </c>
      <c r="S6" s="7" t="str">
        <f t="shared" si="9"/>
        <v>1</v>
      </c>
      <c r="T6" s="7" t="str">
        <f t="shared" si="9"/>
        <v>1</v>
      </c>
      <c r="U6" s="7" t="str">
        <f t="shared" si="9"/>
        <v>1</v>
      </c>
      <c r="V6" t="s">
        <v>4</v>
      </c>
      <c r="W6" s="6" t="str">
        <f t="shared" ref="W6:Z15" si="12">MID($G6, COLUMN() - (COLUMN($W6) - 13), 1)</f>
        <v>0</v>
      </c>
      <c r="X6" s="7" t="str">
        <f t="shared" si="12"/>
        <v>1</v>
      </c>
      <c r="Y6" s="7" t="str">
        <f t="shared" si="12"/>
        <v>1</v>
      </c>
      <c r="Z6" s="7" t="str">
        <f t="shared" si="12"/>
        <v>1</v>
      </c>
      <c r="AC6" s="4" t="s">
        <v>15</v>
      </c>
      <c r="AD6" s="4" t="s">
        <v>16</v>
      </c>
      <c r="AE6" s="4" t="s">
        <v>16</v>
      </c>
      <c r="AF6" s="4" t="s">
        <v>16</v>
      </c>
      <c r="AG6" s="4" t="s">
        <v>16</v>
      </c>
      <c r="AH6" s="4" t="s">
        <v>16</v>
      </c>
      <c r="AI6" s="4" t="s">
        <v>16</v>
      </c>
      <c r="AJ6" s="4" t="s">
        <v>16</v>
      </c>
      <c r="AK6" s="4" t="s">
        <v>16</v>
      </c>
      <c r="AL6" s="4" t="s">
        <v>16</v>
      </c>
      <c r="AM6" s="4" t="s">
        <v>16</v>
      </c>
      <c r="AN6" s="4" t="s">
        <v>16</v>
      </c>
      <c r="AO6" s="4" t="s">
        <v>16</v>
      </c>
      <c r="AP6" s="4" t="s">
        <v>16</v>
      </c>
      <c r="AQ6" s="4" t="s">
        <v>16</v>
      </c>
      <c r="AR6" s="4" t="s">
        <v>16</v>
      </c>
      <c r="AS6" s="4" t="s">
        <v>16</v>
      </c>
      <c r="AT6" s="4" t="s">
        <v>16</v>
      </c>
      <c r="AU6" s="4" t="s">
        <v>16</v>
      </c>
      <c r="AV6" s="4" t="s">
        <v>16</v>
      </c>
      <c r="AW6" s="3"/>
      <c r="BA6" s="2" t="s">
        <v>15</v>
      </c>
    </row>
    <row r="7" spans="1:53" x14ac:dyDescent="0.3">
      <c r="A7" t="s">
        <v>17</v>
      </c>
      <c r="B7" t="s">
        <v>18</v>
      </c>
      <c r="C7">
        <f xml:space="preserve"> C1 + C2 + C2</f>
        <v>41745</v>
      </c>
      <c r="E7" t="s">
        <v>19</v>
      </c>
      <c r="G7" t="str">
        <f t="shared" si="11"/>
        <v>1010001100010001</v>
      </c>
      <c r="H7" s="7" t="str">
        <f t="shared" si="7"/>
        <v>1</v>
      </c>
      <c r="I7" s="6" t="str">
        <f t="shared" si="7"/>
        <v>0</v>
      </c>
      <c r="J7" s="7" t="str">
        <f t="shared" si="7"/>
        <v>1</v>
      </c>
      <c r="K7" s="6" t="str">
        <f t="shared" si="7"/>
        <v>0</v>
      </c>
      <c r="L7" t="s">
        <v>4</v>
      </c>
      <c r="M7" s="9" t="str">
        <f t="shared" si="8"/>
        <v>0</v>
      </c>
      <c r="N7" s="9" t="str">
        <f t="shared" si="8"/>
        <v>0</v>
      </c>
      <c r="O7" s="8" t="str">
        <f t="shared" si="8"/>
        <v>1</v>
      </c>
      <c r="P7" s="8" t="str">
        <f t="shared" si="8"/>
        <v>1</v>
      </c>
      <c r="Q7" t="s">
        <v>4</v>
      </c>
      <c r="R7" s="6" t="str">
        <f t="shared" si="9"/>
        <v>0</v>
      </c>
      <c r="S7" s="6" t="str">
        <f t="shared" si="9"/>
        <v>0</v>
      </c>
      <c r="T7" s="6" t="str">
        <f t="shared" si="9"/>
        <v>0</v>
      </c>
      <c r="U7" s="7" t="str">
        <f t="shared" si="9"/>
        <v>1</v>
      </c>
      <c r="V7" t="s">
        <v>4</v>
      </c>
      <c r="W7" s="6" t="str">
        <f t="shared" si="12"/>
        <v>0</v>
      </c>
      <c r="X7" s="6" t="str">
        <f t="shared" si="12"/>
        <v>0</v>
      </c>
      <c r="Y7" s="6" t="str">
        <f t="shared" si="12"/>
        <v>0</v>
      </c>
      <c r="Z7" s="7" t="str">
        <f t="shared" si="12"/>
        <v>1</v>
      </c>
      <c r="AC7" s="3"/>
      <c r="AD7" s="3">
        <f>_xlfn.BITXOR(_xlfn.BITXOR(AD4,AD5),AD3)</f>
        <v>0</v>
      </c>
      <c r="AE7" s="3">
        <f t="shared" ref="AE7:AV7" si="13">_xlfn.BITXOR(_xlfn.BITXOR(AE4,AE5),AE3)</f>
        <v>1</v>
      </c>
      <c r="AF7" s="3">
        <f t="shared" si="13"/>
        <v>0</v>
      </c>
      <c r="AG7" s="3">
        <f t="shared" si="13"/>
        <v>1</v>
      </c>
      <c r="AH7" s="3"/>
      <c r="AI7" s="3">
        <f>_xlfn.BITXOR(_xlfn.BITXOR(AI4,AI5),AI3)</f>
        <v>1</v>
      </c>
      <c r="AJ7" s="3">
        <f t="shared" si="13"/>
        <v>1</v>
      </c>
      <c r="AK7" s="3">
        <f t="shared" si="13"/>
        <v>1</v>
      </c>
      <c r="AL7" s="3">
        <f t="shared" si="13"/>
        <v>1</v>
      </c>
      <c r="AM7" s="3"/>
      <c r="AN7" s="3">
        <f>_xlfn.BITXOR(_xlfn.BITXOR(AN4,AN5),AN3)</f>
        <v>1</v>
      </c>
      <c r="AO7" s="3">
        <f t="shared" si="13"/>
        <v>1</v>
      </c>
      <c r="AP7" s="3">
        <f t="shared" si="13"/>
        <v>1</v>
      </c>
      <c r="AQ7" s="3">
        <f t="shared" si="13"/>
        <v>1</v>
      </c>
      <c r="AR7" s="3"/>
      <c r="AS7" s="3">
        <f t="shared" si="13"/>
        <v>0</v>
      </c>
      <c r="AT7" s="3">
        <f t="shared" si="13"/>
        <v>1</v>
      </c>
      <c r="AU7" s="3">
        <f t="shared" si="13"/>
        <v>1</v>
      </c>
      <c r="AV7" s="3">
        <f t="shared" si="13"/>
        <v>1</v>
      </c>
      <c r="AW7" s="4" t="s">
        <v>20</v>
      </c>
      <c r="AX7" s="1">
        <v>24567</v>
      </c>
      <c r="BA7">
        <f xml:space="preserve"> BA4 +BA5</f>
        <v>24567</v>
      </c>
    </row>
    <row r="8" spans="1:53" x14ac:dyDescent="0.3">
      <c r="A8" t="s">
        <v>21</v>
      </c>
      <c r="B8" t="s">
        <v>22</v>
      </c>
      <c r="C8">
        <f xml:space="preserve"> C2 - C1</f>
        <v>9789</v>
      </c>
      <c r="E8" t="s">
        <v>23</v>
      </c>
      <c r="G8" t="str">
        <f t="shared" si="11"/>
        <v>0010011000111101</v>
      </c>
      <c r="H8" t="str">
        <f t="shared" si="7"/>
        <v>0</v>
      </c>
      <c r="I8" t="str">
        <f t="shared" si="7"/>
        <v>0</v>
      </c>
      <c r="J8" t="str">
        <f t="shared" si="7"/>
        <v>1</v>
      </c>
      <c r="K8" t="str">
        <f t="shared" si="7"/>
        <v>0</v>
      </c>
      <c r="L8" t="s">
        <v>4</v>
      </c>
      <c r="M8" s="2" t="str">
        <f t="shared" si="8"/>
        <v>0</v>
      </c>
      <c r="N8" s="2" t="str">
        <f t="shared" si="8"/>
        <v>1</v>
      </c>
      <c r="O8" s="2" t="str">
        <f t="shared" si="8"/>
        <v>1</v>
      </c>
      <c r="P8" s="2" t="str">
        <f t="shared" si="8"/>
        <v>0</v>
      </c>
      <c r="Q8" t="s">
        <v>4</v>
      </c>
      <c r="R8" t="str">
        <f t="shared" si="9"/>
        <v>0</v>
      </c>
      <c r="S8" t="str">
        <f t="shared" si="9"/>
        <v>0</v>
      </c>
      <c r="T8" t="str">
        <f t="shared" si="9"/>
        <v>1</v>
      </c>
      <c r="U8" t="str">
        <f t="shared" si="9"/>
        <v>1</v>
      </c>
      <c r="V8" t="s">
        <v>4</v>
      </c>
      <c r="W8" t="str">
        <f t="shared" si="12"/>
        <v>1</v>
      </c>
      <c r="X8" t="str">
        <f t="shared" si="12"/>
        <v>1</v>
      </c>
      <c r="Y8" t="str">
        <f t="shared" si="12"/>
        <v>0</v>
      </c>
      <c r="Z8" t="str">
        <f t="shared" si="12"/>
        <v>1</v>
      </c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</row>
    <row r="9" spans="1:53" x14ac:dyDescent="0.3">
      <c r="A9" t="s">
        <v>24</v>
      </c>
      <c r="B9" t="s">
        <v>25</v>
      </c>
      <c r="C9">
        <f xml:space="preserve"> 65536 - C7</f>
        <v>23791</v>
      </c>
      <c r="E9" t="s">
        <v>26</v>
      </c>
      <c r="G9" t="str">
        <f t="shared" si="11"/>
        <v>0101110011101111</v>
      </c>
      <c r="H9" t="str">
        <f t="shared" si="7"/>
        <v>0</v>
      </c>
      <c r="I9" t="str">
        <f t="shared" si="7"/>
        <v>1</v>
      </c>
      <c r="J9" t="str">
        <f t="shared" si="7"/>
        <v>0</v>
      </c>
      <c r="K9" t="str">
        <f t="shared" si="7"/>
        <v>1</v>
      </c>
      <c r="L9" t="s">
        <v>4</v>
      </c>
      <c r="M9" s="2" t="str">
        <f t="shared" si="8"/>
        <v>1</v>
      </c>
      <c r="N9" s="2" t="str">
        <f t="shared" si="8"/>
        <v>1</v>
      </c>
      <c r="O9" s="2" t="str">
        <f t="shared" si="8"/>
        <v>0</v>
      </c>
      <c r="P9" s="2" t="str">
        <f t="shared" si="8"/>
        <v>0</v>
      </c>
      <c r="Q9" t="s">
        <v>4</v>
      </c>
      <c r="R9" t="str">
        <f t="shared" si="9"/>
        <v>1</v>
      </c>
      <c r="S9" t="str">
        <f t="shared" si="9"/>
        <v>1</v>
      </c>
      <c r="T9" t="str">
        <f t="shared" si="9"/>
        <v>1</v>
      </c>
      <c r="U9" t="str">
        <f t="shared" si="9"/>
        <v>0</v>
      </c>
      <c r="V9" t="s">
        <v>4</v>
      </c>
      <c r="W9" t="str">
        <f t="shared" si="12"/>
        <v>1</v>
      </c>
      <c r="X9" t="str">
        <f t="shared" si="12"/>
        <v>1</v>
      </c>
      <c r="Y9" t="str">
        <f t="shared" si="12"/>
        <v>1</v>
      </c>
      <c r="Z9" t="str">
        <f t="shared" si="12"/>
        <v>1</v>
      </c>
      <c r="AC9" s="3" t="s">
        <v>27</v>
      </c>
      <c r="AD9" s="3">
        <f xml:space="preserve"> AD3</f>
        <v>0</v>
      </c>
      <c r="AE9" s="3"/>
      <c r="AF9" s="3" t="s">
        <v>28</v>
      </c>
      <c r="AG9" s="3">
        <v>1</v>
      </c>
      <c r="AH9" s="3"/>
      <c r="AI9" s="3" t="s">
        <v>29</v>
      </c>
      <c r="AJ9" s="3">
        <v>1</v>
      </c>
      <c r="AK9" s="3"/>
      <c r="AL9" s="3" t="s">
        <v>30</v>
      </c>
      <c r="AM9" s="3">
        <f xml:space="preserve"> IF(SUM(AD7:AV7)=0,1,0)</f>
        <v>0</v>
      </c>
      <c r="AN9" s="3"/>
      <c r="AO9" s="3" t="s">
        <v>31</v>
      </c>
      <c r="AP9" s="3">
        <f xml:space="preserve"> AD7</f>
        <v>0</v>
      </c>
      <c r="AQ9" s="3"/>
      <c r="AR9" s="3" t="s">
        <v>32</v>
      </c>
      <c r="AS9" s="3">
        <v>0</v>
      </c>
      <c r="AT9" s="3"/>
      <c r="AU9" s="3"/>
      <c r="AV9" s="3"/>
      <c r="AW9" s="5" t="s">
        <v>33</v>
      </c>
    </row>
    <row r="10" spans="1:53" x14ac:dyDescent="0.3">
      <c r="A10" t="s">
        <v>34</v>
      </c>
      <c r="B10" s="1" t="s">
        <v>35</v>
      </c>
      <c r="C10">
        <f t="shared" ref="C10:C15" si="14" xml:space="preserve"> (-1)*C4</f>
        <v>-7389</v>
      </c>
      <c r="E10" t="s">
        <v>36</v>
      </c>
      <c r="F10" s="1" t="s">
        <v>37</v>
      </c>
      <c r="G10" t="str">
        <f>_xlfn.BASE(2^16 - C4,2,16)</f>
        <v>1110001100100011</v>
      </c>
      <c r="H10" t="str">
        <f t="shared" si="7"/>
        <v>1</v>
      </c>
      <c r="I10" t="str">
        <f t="shared" si="7"/>
        <v>1</v>
      </c>
      <c r="J10" t="str">
        <f t="shared" si="7"/>
        <v>1</v>
      </c>
      <c r="K10" t="str">
        <f t="shared" si="7"/>
        <v>0</v>
      </c>
      <c r="L10" t="s">
        <v>4</v>
      </c>
      <c r="M10" s="2" t="str">
        <f t="shared" si="8"/>
        <v>0</v>
      </c>
      <c r="N10" s="2" t="str">
        <f t="shared" si="8"/>
        <v>0</v>
      </c>
      <c r="O10" s="2" t="str">
        <f t="shared" si="8"/>
        <v>1</v>
      </c>
      <c r="P10" s="2" t="str">
        <f t="shared" si="8"/>
        <v>1</v>
      </c>
      <c r="Q10" t="s">
        <v>4</v>
      </c>
      <c r="R10" t="str">
        <f t="shared" si="9"/>
        <v>0</v>
      </c>
      <c r="S10" t="str">
        <f t="shared" si="9"/>
        <v>0</v>
      </c>
      <c r="T10" t="str">
        <f t="shared" si="9"/>
        <v>1</v>
      </c>
      <c r="U10" t="str">
        <f t="shared" si="9"/>
        <v>0</v>
      </c>
      <c r="V10" t="s">
        <v>4</v>
      </c>
      <c r="W10" t="str">
        <f t="shared" si="12"/>
        <v>0</v>
      </c>
      <c r="X10" t="str">
        <f t="shared" si="12"/>
        <v>0</v>
      </c>
      <c r="Y10" t="str">
        <f t="shared" si="12"/>
        <v>1</v>
      </c>
      <c r="Z10" t="str">
        <f t="shared" si="12"/>
        <v>1</v>
      </c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</row>
    <row r="11" spans="1:53" x14ac:dyDescent="0.3">
      <c r="A11" t="s">
        <v>38</v>
      </c>
      <c r="B11" s="1" t="s">
        <v>39</v>
      </c>
      <c r="C11">
        <f t="shared" si="14"/>
        <v>-17178</v>
      </c>
      <c r="E11" t="s">
        <v>40</v>
      </c>
      <c r="F11" s="1" t="s">
        <v>41</v>
      </c>
      <c r="G11" t="str">
        <f>_xlfn.BASE(2^16 - C5,2,16)</f>
        <v>1011110011100110</v>
      </c>
      <c r="H11" t="str">
        <f t="shared" si="7"/>
        <v>1</v>
      </c>
      <c r="I11" t="str">
        <f t="shared" si="7"/>
        <v>0</v>
      </c>
      <c r="J11" t="str">
        <f t="shared" si="7"/>
        <v>1</v>
      </c>
      <c r="K11" t="str">
        <f t="shared" si="7"/>
        <v>1</v>
      </c>
      <c r="L11" t="s">
        <v>4</v>
      </c>
      <c r="M11" s="2" t="str">
        <f t="shared" si="8"/>
        <v>1</v>
      </c>
      <c r="N11" s="2" t="str">
        <f t="shared" si="8"/>
        <v>1</v>
      </c>
      <c r="O11" s="2" t="str">
        <f t="shared" si="8"/>
        <v>0</v>
      </c>
      <c r="P11" s="2" t="str">
        <f t="shared" si="8"/>
        <v>0</v>
      </c>
      <c r="Q11" t="s">
        <v>4</v>
      </c>
      <c r="R11" t="str">
        <f t="shared" si="9"/>
        <v>1</v>
      </c>
      <c r="S11" t="str">
        <f t="shared" si="9"/>
        <v>1</v>
      </c>
      <c r="T11" t="str">
        <f t="shared" si="9"/>
        <v>1</v>
      </c>
      <c r="U11" t="str">
        <f t="shared" si="9"/>
        <v>0</v>
      </c>
      <c r="V11" t="s">
        <v>4</v>
      </c>
      <c r="W11" t="str">
        <f t="shared" si="12"/>
        <v>0</v>
      </c>
      <c r="X11" t="str">
        <f t="shared" si="12"/>
        <v>1</v>
      </c>
      <c r="Y11" t="str">
        <f t="shared" si="12"/>
        <v>1</v>
      </c>
      <c r="Z11" t="str">
        <f t="shared" si="12"/>
        <v>0</v>
      </c>
    </row>
    <row r="12" spans="1:53" x14ac:dyDescent="0.3">
      <c r="A12" t="s">
        <v>42</v>
      </c>
      <c r="B12" s="1" t="s">
        <v>43</v>
      </c>
      <c r="C12">
        <f t="shared" si="14"/>
        <v>-24567</v>
      </c>
      <c r="E12" t="s">
        <v>44</v>
      </c>
      <c r="F12" s="1" t="s">
        <v>45</v>
      </c>
      <c r="G12" t="str">
        <f t="shared" ref="G12:G15" si="15">_xlfn.BASE(2^16 - C6,2,16)</f>
        <v>1010000000001001</v>
      </c>
      <c r="H12" t="str">
        <f t="shared" si="7"/>
        <v>1</v>
      </c>
      <c r="I12" t="str">
        <f t="shared" si="7"/>
        <v>0</v>
      </c>
      <c r="J12" t="str">
        <f t="shared" si="7"/>
        <v>1</v>
      </c>
      <c r="K12" t="str">
        <f t="shared" si="7"/>
        <v>0</v>
      </c>
      <c r="L12" t="s">
        <v>4</v>
      </c>
      <c r="M12" s="2" t="str">
        <f t="shared" si="8"/>
        <v>0</v>
      </c>
      <c r="N12" s="2" t="str">
        <f t="shared" si="8"/>
        <v>0</v>
      </c>
      <c r="O12" s="2" t="str">
        <f t="shared" si="8"/>
        <v>0</v>
      </c>
      <c r="P12" s="2" t="str">
        <f t="shared" si="8"/>
        <v>0</v>
      </c>
      <c r="Q12" t="s">
        <v>4</v>
      </c>
      <c r="R12" t="str">
        <f t="shared" si="9"/>
        <v>0</v>
      </c>
      <c r="S12" t="str">
        <f t="shared" si="9"/>
        <v>0</v>
      </c>
      <c r="T12" t="str">
        <f t="shared" si="9"/>
        <v>0</v>
      </c>
      <c r="U12" t="str">
        <f t="shared" si="9"/>
        <v>0</v>
      </c>
      <c r="V12" t="s">
        <v>4</v>
      </c>
      <c r="W12" t="str">
        <f t="shared" si="12"/>
        <v>1</v>
      </c>
      <c r="X12" t="str">
        <f t="shared" si="12"/>
        <v>0</v>
      </c>
      <c r="Y12" t="str">
        <f t="shared" si="12"/>
        <v>0</v>
      </c>
      <c r="Z12" t="str">
        <f t="shared" si="12"/>
        <v>1</v>
      </c>
      <c r="AD12" s="2">
        <f>IF(OR(AE13+AE14 &gt; 1, AE12 + AE13 &gt; 1, AE12 + AE14 &gt; 1), 1, 0)</f>
        <v>1</v>
      </c>
      <c r="AE12" s="2">
        <f t="shared" ref="AE12:AF12" si="16">IF(OR(AF13+AF14 &gt; 1, AF12 + AF13 &gt; 1, AF12 + AF14 &gt; 1), 1, 0)</f>
        <v>0</v>
      </c>
      <c r="AF12" s="2">
        <f t="shared" si="16"/>
        <v>1</v>
      </c>
      <c r="AG12" s="2">
        <f>IF(OR(AI3+AI14 &gt; 1, AI12 + AI13 &gt; 1, AI12 + AI14 &gt; 1), 1, 0)</f>
        <v>1</v>
      </c>
      <c r="AI12" s="2">
        <f>IF(OR(AJ13+AJ14 &gt; 1, AJ12 + AJ13 &gt; 1, AJ12 + AJ14 &gt; 1), 1, 0)</f>
        <v>1</v>
      </c>
      <c r="AJ12" s="2">
        <f t="shared" ref="AJ12:AK12" si="17">IF(OR(AK13+AK14 &gt; 1, AK12 + AK13 &gt; 1, AK12 + AK14 &gt; 1), 1, 0)</f>
        <v>1</v>
      </c>
      <c r="AK12" s="2">
        <f t="shared" si="17"/>
        <v>1</v>
      </c>
      <c r="AL12" s="2">
        <f>IF(OR(AN13+AN14 &gt; 1, AN12 + AN13 &gt; 1, AN12 + AN14 &gt; 1), 1, 0)</f>
        <v>1</v>
      </c>
      <c r="AN12" s="2">
        <f>IF(OR(AO13+AO14 &gt; 1, AO12 + AO13 &gt; 1, AO12 + AO14 &gt; 1), 1,0)</f>
        <v>1</v>
      </c>
      <c r="AO12" s="2">
        <f t="shared" ref="AO12" si="18">IF(OR(AP13+AP14 &gt; 1, AP12 + AP13 &gt; 1, AP12 + AP14 &gt; 1), 1,0)</f>
        <v>1</v>
      </c>
      <c r="AP12" s="2">
        <f>IF(OR(AQ13+AQ14 &gt; 1, AQ12 + AQ13 &gt; 1, AQ12 + AQ14 &gt; 1), 1,0)</f>
        <v>1</v>
      </c>
      <c r="AQ12" s="2">
        <f>IF(OR(AS13+AS14 &gt; 1, AS12 + AS13 &gt; 1, AS12 + AS14 &gt; 1), 1,0)</f>
        <v>1</v>
      </c>
      <c r="AS12" s="2">
        <f>IF(OR(AT13+AT14 &gt; 1, AT12 + AT13 &gt; 1, AT12 + AT14 &gt; 1), 1, 0)</f>
        <v>1</v>
      </c>
      <c r="AT12" s="2">
        <f t="shared" ref="AT12:AU12" si="19">IF(OR(AU13+AU14 &gt; 1, AU12 + AU13 &gt; 1, AU12 + AU14 &gt; 1), 1, 0)</f>
        <v>1</v>
      </c>
      <c r="AU12" s="2">
        <f t="shared" si="19"/>
        <v>0</v>
      </c>
    </row>
    <row r="13" spans="1:53" x14ac:dyDescent="0.3">
      <c r="A13" t="s">
        <v>46</v>
      </c>
      <c r="B13" s="1" t="s">
        <v>47</v>
      </c>
      <c r="C13">
        <f t="shared" si="14"/>
        <v>-41745</v>
      </c>
      <c r="E13" t="s">
        <v>48</v>
      </c>
      <c r="F13" s="1" t="s">
        <v>49</v>
      </c>
      <c r="G13" t="str">
        <f t="shared" si="15"/>
        <v>0101110011101111</v>
      </c>
      <c r="H13" t="str">
        <f t="shared" si="7"/>
        <v>0</v>
      </c>
      <c r="I13" t="str">
        <f t="shared" si="7"/>
        <v>1</v>
      </c>
      <c r="J13" t="str">
        <f t="shared" si="7"/>
        <v>0</v>
      </c>
      <c r="K13" t="str">
        <f t="shared" si="7"/>
        <v>1</v>
      </c>
      <c r="L13" t="s">
        <v>4</v>
      </c>
      <c r="M13" s="2" t="str">
        <f t="shared" si="8"/>
        <v>1</v>
      </c>
      <c r="N13" s="2" t="str">
        <f t="shared" si="8"/>
        <v>1</v>
      </c>
      <c r="O13" s="2" t="str">
        <f t="shared" si="8"/>
        <v>0</v>
      </c>
      <c r="P13" s="2" t="str">
        <f t="shared" si="8"/>
        <v>0</v>
      </c>
      <c r="Q13" t="s">
        <v>4</v>
      </c>
      <c r="R13" t="str">
        <f t="shared" si="9"/>
        <v>1</v>
      </c>
      <c r="S13" t="str">
        <f t="shared" si="9"/>
        <v>1</v>
      </c>
      <c r="T13" t="str">
        <f t="shared" si="9"/>
        <v>1</v>
      </c>
      <c r="U13" t="str">
        <f t="shared" si="9"/>
        <v>0</v>
      </c>
      <c r="V13" t="s">
        <v>4</v>
      </c>
      <c r="W13" t="str">
        <f t="shared" si="12"/>
        <v>1</v>
      </c>
      <c r="X13" t="str">
        <f t="shared" si="12"/>
        <v>1</v>
      </c>
      <c r="Y13" t="str">
        <f t="shared" si="12"/>
        <v>1</v>
      </c>
      <c r="Z13" t="str">
        <f t="shared" si="12"/>
        <v>1</v>
      </c>
      <c r="AC13" t="s">
        <v>10</v>
      </c>
      <c r="AD13" s="2" t="str">
        <f>MID($G5, COLUMN() - (COLUMN($AD13) - 1), 1)</f>
        <v>0</v>
      </c>
      <c r="AE13" s="2" t="str">
        <f t="shared" ref="AE13:AG13" si="20">MID($G5, COLUMN() - (COLUMN($AD13) - 1), 1)</f>
        <v>1</v>
      </c>
      <c r="AF13" s="2" t="str">
        <f t="shared" si="20"/>
        <v>0</v>
      </c>
      <c r="AG13" s="2" t="str">
        <f t="shared" si="20"/>
        <v>0</v>
      </c>
      <c r="AH13" t="s">
        <v>4</v>
      </c>
      <c r="AI13" s="2" t="str">
        <f>MID($G5, COLUMN() - (COLUMN($AI13) - 5), 1)</f>
        <v>0</v>
      </c>
      <c r="AJ13" s="2" t="str">
        <f t="shared" ref="AJ13:AL13" si="21">MID($G5, COLUMN() - (COLUMN($AI13) - 5), 1)</f>
        <v>0</v>
      </c>
      <c r="AK13" s="2" t="str">
        <f t="shared" si="21"/>
        <v>1</v>
      </c>
      <c r="AL13" s="2" t="str">
        <f t="shared" si="21"/>
        <v>1</v>
      </c>
      <c r="AM13" t="s">
        <v>4</v>
      </c>
      <c r="AN13" s="2" t="str">
        <f>MID($G5, COLUMN() - (COLUMN($AN13) - 9), 1)</f>
        <v>0</v>
      </c>
      <c r="AO13" s="2" t="str">
        <f t="shared" ref="AO13:AQ14" si="22">MID($G5, COLUMN() - (COLUMN($AN13) - 9), 1)</f>
        <v>0</v>
      </c>
      <c r="AP13" s="2" t="str">
        <f t="shared" si="22"/>
        <v>0</v>
      </c>
      <c r="AQ13" s="2" t="str">
        <f t="shared" si="22"/>
        <v>1</v>
      </c>
      <c r="AR13" t="s">
        <v>4</v>
      </c>
      <c r="AS13" s="2" t="str">
        <f>MID($G5, COLUMN() - (COLUMN($AS13) - 13), 1)</f>
        <v>1</v>
      </c>
      <c r="AT13" s="2" t="str">
        <f t="shared" ref="AT13:AV14" si="23">MID($G5, COLUMN() - (COLUMN($AS13) - 13), 1)</f>
        <v>0</v>
      </c>
      <c r="AU13" s="2" t="str">
        <f t="shared" si="23"/>
        <v>1</v>
      </c>
      <c r="AV13" s="2" t="str">
        <f t="shared" si="23"/>
        <v>0</v>
      </c>
      <c r="AZ13" t="s">
        <v>11</v>
      </c>
      <c r="BA13">
        <f xml:space="preserve"> C5</f>
        <v>17178</v>
      </c>
    </row>
    <row r="14" spans="1:53" x14ac:dyDescent="0.3">
      <c r="A14" t="s">
        <v>50</v>
      </c>
      <c r="B14" s="1" t="s">
        <v>51</v>
      </c>
      <c r="C14">
        <f t="shared" si="14"/>
        <v>-9789</v>
      </c>
      <c r="E14" t="s">
        <v>52</v>
      </c>
      <c r="F14" s="1" t="s">
        <v>53</v>
      </c>
      <c r="G14" t="str">
        <f t="shared" si="15"/>
        <v>1101100111000011</v>
      </c>
      <c r="H14" t="str">
        <f t="shared" si="7"/>
        <v>1</v>
      </c>
      <c r="I14" t="str">
        <f t="shared" si="7"/>
        <v>1</v>
      </c>
      <c r="J14" t="str">
        <f t="shared" si="7"/>
        <v>0</v>
      </c>
      <c r="K14" t="str">
        <f t="shared" si="7"/>
        <v>1</v>
      </c>
      <c r="L14" t="s">
        <v>4</v>
      </c>
      <c r="M14" s="2" t="str">
        <f t="shared" si="8"/>
        <v>1</v>
      </c>
      <c r="N14" s="2" t="str">
        <f t="shared" si="8"/>
        <v>0</v>
      </c>
      <c r="O14" s="2" t="str">
        <f t="shared" si="8"/>
        <v>0</v>
      </c>
      <c r="P14" s="2" t="str">
        <f t="shared" si="8"/>
        <v>1</v>
      </c>
      <c r="Q14" t="s">
        <v>4</v>
      </c>
      <c r="R14" t="str">
        <f t="shared" si="9"/>
        <v>1</v>
      </c>
      <c r="S14" t="str">
        <f t="shared" si="9"/>
        <v>1</v>
      </c>
      <c r="T14" t="str">
        <f t="shared" si="9"/>
        <v>0</v>
      </c>
      <c r="U14" t="str">
        <f t="shared" si="9"/>
        <v>0</v>
      </c>
      <c r="V14" t="s">
        <v>4</v>
      </c>
      <c r="W14" t="str">
        <f t="shared" si="12"/>
        <v>0</v>
      </c>
      <c r="X14" t="str">
        <f t="shared" si="12"/>
        <v>0</v>
      </c>
      <c r="Y14" t="str">
        <f t="shared" si="12"/>
        <v>1</v>
      </c>
      <c r="Z14" t="str">
        <f t="shared" si="12"/>
        <v>1</v>
      </c>
      <c r="AB14" s="1" t="s">
        <v>9</v>
      </c>
      <c r="AC14" t="s">
        <v>54</v>
      </c>
      <c r="AD14" s="2" t="str">
        <f>MID($G6, COLUMN() - (COLUMN($AD14) - 1), 1)</f>
        <v>0</v>
      </c>
      <c r="AE14" s="2" t="str">
        <f t="shared" ref="AE14:AG14" si="24">MID($G6, COLUMN() - (COLUMN($AD14) - 1), 1)</f>
        <v>1</v>
      </c>
      <c r="AF14" s="2" t="str">
        <f t="shared" si="24"/>
        <v>0</v>
      </c>
      <c r="AG14" s="2" t="str">
        <f t="shared" si="24"/>
        <v>1</v>
      </c>
      <c r="AH14" t="s">
        <v>4</v>
      </c>
      <c r="AI14" s="2" t="str">
        <f>MID($G6, COLUMN() - (COLUMN($AI14) - 5), 1)</f>
        <v>1</v>
      </c>
      <c r="AJ14" s="2" t="str">
        <f t="shared" ref="AJ14:AL14" si="25">MID($G6, COLUMN() - (COLUMN($AI14) - 5), 1)</f>
        <v>1</v>
      </c>
      <c r="AK14" s="2" t="str">
        <f t="shared" si="25"/>
        <v>1</v>
      </c>
      <c r="AL14" s="2" t="str">
        <f t="shared" si="25"/>
        <v>1</v>
      </c>
      <c r="AM14" t="s">
        <v>4</v>
      </c>
      <c r="AN14" s="2" t="str">
        <f>MID($G6, COLUMN() - (COLUMN($AN14) - 9), 1)</f>
        <v>1</v>
      </c>
      <c r="AO14" s="2" t="str">
        <f t="shared" si="22"/>
        <v>1</v>
      </c>
      <c r="AP14" s="2" t="str">
        <f t="shared" si="22"/>
        <v>1</v>
      </c>
      <c r="AQ14" s="2" t="str">
        <f t="shared" si="22"/>
        <v>1</v>
      </c>
      <c r="AR14" t="s">
        <v>4</v>
      </c>
      <c r="AS14" s="2" t="str">
        <f>MID($G6, COLUMN() - (COLUMN($AS14) - 13), 1)</f>
        <v>0</v>
      </c>
      <c r="AT14" s="2" t="str">
        <f t="shared" si="23"/>
        <v>1</v>
      </c>
      <c r="AU14" s="2" t="str">
        <f t="shared" si="23"/>
        <v>1</v>
      </c>
      <c r="AV14" s="2" t="str">
        <f t="shared" si="23"/>
        <v>1</v>
      </c>
      <c r="AY14" s="1" t="s">
        <v>9</v>
      </c>
      <c r="AZ14" t="s">
        <v>55</v>
      </c>
      <c r="BA14">
        <f xml:space="preserve"> C6</f>
        <v>24567</v>
      </c>
    </row>
    <row r="15" spans="1:53" x14ac:dyDescent="0.3">
      <c r="A15" t="s">
        <v>56</v>
      </c>
      <c r="B15" s="1" t="s">
        <v>57</v>
      </c>
      <c r="C15">
        <f t="shared" si="14"/>
        <v>-23791</v>
      </c>
      <c r="E15" t="s">
        <v>58</v>
      </c>
      <c r="F15" s="1" t="s">
        <v>59</v>
      </c>
      <c r="G15" t="str">
        <f t="shared" si="15"/>
        <v>1010001100010001</v>
      </c>
      <c r="H15" t="str">
        <f t="shared" si="7"/>
        <v>1</v>
      </c>
      <c r="I15" t="str">
        <f t="shared" si="7"/>
        <v>0</v>
      </c>
      <c r="J15" t="str">
        <f t="shared" si="7"/>
        <v>1</v>
      </c>
      <c r="K15" t="str">
        <f t="shared" si="7"/>
        <v>0</v>
      </c>
      <c r="L15" t="s">
        <v>4</v>
      </c>
      <c r="M15" s="2" t="str">
        <f t="shared" si="8"/>
        <v>0</v>
      </c>
      <c r="N15" s="2" t="str">
        <f t="shared" si="8"/>
        <v>0</v>
      </c>
      <c r="O15" s="2" t="str">
        <f t="shared" si="8"/>
        <v>1</v>
      </c>
      <c r="P15" s="2" t="str">
        <f t="shared" si="8"/>
        <v>1</v>
      </c>
      <c r="Q15" t="s">
        <v>4</v>
      </c>
      <c r="R15" t="str">
        <f t="shared" si="9"/>
        <v>0</v>
      </c>
      <c r="S15" t="str">
        <f t="shared" si="9"/>
        <v>0</v>
      </c>
      <c r="T15" t="str">
        <f t="shared" si="9"/>
        <v>0</v>
      </c>
      <c r="U15" t="str">
        <f t="shared" si="9"/>
        <v>1</v>
      </c>
      <c r="V15" t="s">
        <v>4</v>
      </c>
      <c r="W15" t="str">
        <f t="shared" si="12"/>
        <v>0</v>
      </c>
      <c r="X15" t="str">
        <f t="shared" si="12"/>
        <v>0</v>
      </c>
      <c r="Y15" t="str">
        <f t="shared" si="12"/>
        <v>0</v>
      </c>
      <c r="Z15" t="str">
        <f t="shared" si="12"/>
        <v>1</v>
      </c>
      <c r="AC15" s="4" t="s">
        <v>15</v>
      </c>
      <c r="AD15" s="4" t="s">
        <v>16</v>
      </c>
      <c r="AE15" s="4" t="s">
        <v>16</v>
      </c>
      <c r="AF15" s="4" t="s">
        <v>16</v>
      </c>
      <c r="AG15" s="4" t="s">
        <v>16</v>
      </c>
      <c r="AH15" s="4" t="s">
        <v>16</v>
      </c>
      <c r="AI15" s="4" t="s">
        <v>16</v>
      </c>
      <c r="AJ15" s="4" t="s">
        <v>16</v>
      </c>
      <c r="AK15" s="4" t="s">
        <v>16</v>
      </c>
      <c r="AL15" s="4" t="s">
        <v>16</v>
      </c>
      <c r="AM15" s="4" t="s">
        <v>16</v>
      </c>
      <c r="AN15" s="4" t="s">
        <v>16</v>
      </c>
      <c r="AO15" s="4" t="s">
        <v>16</v>
      </c>
      <c r="AP15" s="4" t="s">
        <v>16</v>
      </c>
      <c r="AQ15" s="4" t="s">
        <v>16</v>
      </c>
      <c r="AR15" s="4" t="s">
        <v>16</v>
      </c>
      <c r="AS15" s="4" t="s">
        <v>16</v>
      </c>
      <c r="AT15" s="4" t="s">
        <v>16</v>
      </c>
      <c r="AU15" s="4" t="s">
        <v>16</v>
      </c>
      <c r="AV15" s="4" t="s">
        <v>16</v>
      </c>
      <c r="AW15" s="3"/>
      <c r="BA15" s="2" t="s">
        <v>15</v>
      </c>
    </row>
    <row r="16" spans="1:53" x14ac:dyDescent="0.3">
      <c r="AD16" s="2">
        <f>_xlfn.BITXOR(_xlfn.BITXOR(AD13,AD14),AD12)</f>
        <v>1</v>
      </c>
      <c r="AE16" s="2">
        <f>_xlfn.BITXOR(_xlfn.BITXOR(AE13,AE14),AE12)</f>
        <v>0</v>
      </c>
      <c r="AF16" s="2">
        <f>_xlfn.BITXOR(_xlfn.BITXOR(AF13,AF14),AF12)</f>
        <v>1</v>
      </c>
      <c r="AG16" s="2">
        <f>_xlfn.BITXOR(_xlfn.BITXOR(AG13,AG14),AG12)</f>
        <v>0</v>
      </c>
      <c r="AI16" s="2">
        <f>_xlfn.BITXOR(_xlfn.BITXOR(AI13,AI14),AI12)</f>
        <v>0</v>
      </c>
      <c r="AJ16" s="2">
        <f>_xlfn.BITXOR(_xlfn.BITXOR(AJ13,AJ14),AJ12)</f>
        <v>0</v>
      </c>
      <c r="AK16" s="2">
        <f>_xlfn.BITXOR(_xlfn.BITXOR(AK13,AK14),AK12)</f>
        <v>1</v>
      </c>
      <c r="AL16" s="2">
        <f>_xlfn.BITXOR(_xlfn.BITXOR(AL13,AL14),AL12)</f>
        <v>1</v>
      </c>
      <c r="AN16" s="2">
        <f>_xlfn.BITXOR(_xlfn.BITXOR(AN13,AN14),AN12)</f>
        <v>0</v>
      </c>
      <c r="AO16" s="2">
        <f>_xlfn.BITXOR(_xlfn.BITXOR(AO13,AO14),AO12)</f>
        <v>0</v>
      </c>
      <c r="AP16" s="2">
        <f>_xlfn.BITXOR(_xlfn.BITXOR(AP13,AP14),AP12)</f>
        <v>0</v>
      </c>
      <c r="AQ16" s="2">
        <f>_xlfn.BITXOR(_xlfn.BITXOR(AQ13,AQ14),AQ12)</f>
        <v>1</v>
      </c>
      <c r="AS16" s="2">
        <f>_xlfn.BITXOR(_xlfn.BITXOR(AS13,AS14),AS12)</f>
        <v>0</v>
      </c>
      <c r="AT16" s="2">
        <f>_xlfn.BITXOR(_xlfn.BITXOR(AT13,AT14),AT12)</f>
        <v>0</v>
      </c>
      <c r="AU16" s="2">
        <f>_xlfn.BITXOR(_xlfn.BITXOR(AU13,AU14),AU12)</f>
        <v>0</v>
      </c>
      <c r="AV16" s="2">
        <f>_xlfn.BITXOR(_xlfn.BITXOR(AV13,AV14),AV12)</f>
        <v>1</v>
      </c>
      <c r="AW16" s="1" t="s">
        <v>20</v>
      </c>
      <c r="AX16">
        <v>41745</v>
      </c>
      <c r="BA16">
        <f xml:space="preserve"> BA13 +BA14</f>
        <v>41745</v>
      </c>
    </row>
    <row r="18" spans="4:53" x14ac:dyDescent="0.3">
      <c r="AC18" t="s">
        <v>60</v>
      </c>
      <c r="AD18">
        <f xml:space="preserve"> AD12</f>
        <v>1</v>
      </c>
      <c r="AF18" t="s">
        <v>28</v>
      </c>
      <c r="AI18" t="s">
        <v>29</v>
      </c>
      <c r="AJ18">
        <v>0</v>
      </c>
      <c r="AL18" t="s">
        <v>30</v>
      </c>
      <c r="AM18" s="2">
        <f xml:space="preserve"> IF(SUM(AD16:AV16)=0,1,0)</f>
        <v>0</v>
      </c>
      <c r="AO18" t="s">
        <v>31</v>
      </c>
      <c r="AP18">
        <f xml:space="preserve"> AD16</f>
        <v>1</v>
      </c>
      <c r="AR18" t="s">
        <v>32</v>
      </c>
      <c r="AS18">
        <v>1</v>
      </c>
      <c r="AW18" s="5" t="s">
        <v>33</v>
      </c>
    </row>
    <row r="19" spans="4:53" x14ac:dyDescent="0.3">
      <c r="D19" s="1"/>
    </row>
    <row r="22" spans="4:53" x14ac:dyDescent="0.3">
      <c r="AB22" s="1"/>
      <c r="AC22" s="3"/>
      <c r="AD22" s="3">
        <f>IF(OR(AE23+AE24 &gt; 1, AE22 + AE23 &gt; 1, AE22 + AE24 &gt; 1), 1, 0)</f>
        <v>1</v>
      </c>
      <c r="AE22" s="3">
        <f>IF(OR(AF23+AF24 &gt; 1, AF22 + AF23 &gt; 1, AF22 + AF24 &gt; 1), 1, 0)</f>
        <v>0</v>
      </c>
      <c r="AF22" s="3">
        <f>IF(OR(AG23+AG24 &gt; 1, AG22 + AG23 &gt; 1, AG22 + AG24 &gt; 1), 1, 0)</f>
        <v>0</v>
      </c>
      <c r="AG22" s="3">
        <f>IF(OR(AI23+AI24 &gt; 1, AI22 + AI23 &gt; 1, AI22 + AI24 &gt; 1), 1, 0)</f>
        <v>0</v>
      </c>
      <c r="AH22" s="3"/>
      <c r="AI22" s="3">
        <f>IF(OR(AJ23+AJ24 &gt; 1, AJ22 + AJ23 &gt; 1, AJ22 + AJ24 &gt; 1), 1, 0)</f>
        <v>0</v>
      </c>
      <c r="AJ22" s="3">
        <f t="shared" ref="AJ22" si="26">IF(OR(AK23+AK24 &gt; 1, AK22 + AK23 &gt; 1, AK22 + AK24 &gt; 1), 1, 0)</f>
        <v>1</v>
      </c>
      <c r="AK22" s="3">
        <f t="shared" ref="AK22" si="27">IF(OR(AL23+AL24 &gt; 1, AL22 + AL23 &gt; 1, AL22 + AL24 &gt; 1), 1, 0)</f>
        <v>1</v>
      </c>
      <c r="AL22" s="3">
        <f>IF(OR(AN23+AN24 &gt; 1, AN22 + AN23 &gt; 1, AN22 + AN24 &gt; 1), 1, 0)</f>
        <v>0</v>
      </c>
      <c r="AM22" s="3"/>
      <c r="AN22" s="3">
        <f>IF(OR(AO23+AO24 &gt; 1, AO22 + AO23 &gt; 1, AO22 + AO24 &gt; 1), 1, 0)</f>
        <v>0</v>
      </c>
      <c r="AO22" s="3">
        <f t="shared" ref="AO22" si="28">IF(OR(AP23+AP24 &gt; 1, AP22 + AP23 &gt; 1, AP22 + AP24 &gt; 1), 1, 0)</f>
        <v>0</v>
      </c>
      <c r="AP22" s="3">
        <f t="shared" ref="AP22" si="29">IF(OR(AQ23+AQ24 &gt; 1, AQ22 + AQ23 &gt; 1, AQ22 + AQ24 &gt; 1), 1, 0)</f>
        <v>0</v>
      </c>
      <c r="AQ22" s="3">
        <f>IF(OR(AS23+AS24 &gt; 1, AS22 + AS23 &gt; 1, AS22 + AS24 &gt; 1), 1, 0)</f>
        <v>0</v>
      </c>
      <c r="AR22" s="3"/>
      <c r="AS22" s="3">
        <f>IF(OR(AT23+AT24 &gt; 1, AT22 + AT23 &gt; 1, AT22 + AT24 &gt; 1), 1, 0)</f>
        <v>0</v>
      </c>
      <c r="AT22" s="3">
        <f t="shared" ref="AT22" si="30">IF(OR(AU23+AU24 &gt; 1, AU22 + AU23 &gt; 1, AU22 + AU24 &gt; 1), 1, 0)</f>
        <v>1</v>
      </c>
      <c r="AU22" s="3">
        <f t="shared" ref="AU22" si="31">IF(OR(AV23+AV24 &gt; 1, AV22 + AV23 &gt; 1, AV22 + AV24 &gt; 1), 1, 0)</f>
        <v>0</v>
      </c>
    </row>
    <row r="23" spans="4:53" x14ac:dyDescent="0.3">
      <c r="AC23" t="s">
        <v>10</v>
      </c>
      <c r="AD23" s="2" t="str">
        <f>MID($G5, COLUMN() - (COLUMN($AD23) - 1), 1)</f>
        <v>0</v>
      </c>
      <c r="AE23" s="2" t="str">
        <f t="shared" ref="AE23:AG23" si="32">MID($G5, COLUMN() - (COLUMN($AD23) - 1), 1)</f>
        <v>1</v>
      </c>
      <c r="AF23" s="2" t="str">
        <f t="shared" si="32"/>
        <v>0</v>
      </c>
      <c r="AG23" s="2" t="str">
        <f t="shared" si="32"/>
        <v>0</v>
      </c>
      <c r="AH23" t="s">
        <v>4</v>
      </c>
      <c r="AI23" s="2" t="str">
        <f>MID($G5, COLUMN() - (COLUMN($AI23) - 5), 1)</f>
        <v>0</v>
      </c>
      <c r="AJ23" s="2" t="str">
        <f t="shared" ref="AJ23:AL23" si="33">MID($G5, COLUMN() - (COLUMN($AI23) - 5), 1)</f>
        <v>0</v>
      </c>
      <c r="AK23" s="2" t="str">
        <f t="shared" si="33"/>
        <v>1</v>
      </c>
      <c r="AL23" s="2" t="str">
        <f t="shared" si="33"/>
        <v>1</v>
      </c>
      <c r="AM23" t="s">
        <v>4</v>
      </c>
      <c r="AN23" s="2" t="str">
        <f>MID($G5, COLUMN() - (COLUMN($AN23) - 9), 1)</f>
        <v>0</v>
      </c>
      <c r="AO23" s="2" t="str">
        <f t="shared" ref="AO23:AQ23" si="34">MID($G5, COLUMN() - (COLUMN($AN23) - 9), 1)</f>
        <v>0</v>
      </c>
      <c r="AP23" s="2" t="str">
        <f t="shared" si="34"/>
        <v>0</v>
      </c>
      <c r="AQ23" s="2" t="str">
        <f t="shared" si="34"/>
        <v>1</v>
      </c>
      <c r="AR23" t="s">
        <v>4</v>
      </c>
      <c r="AS23" s="2" t="str">
        <f>MID($G5, COLUMN() - (COLUMN($AS23) - 13), 1)</f>
        <v>1</v>
      </c>
      <c r="AT23" s="2" t="str">
        <f t="shared" ref="AT23:AV23" si="35">MID($G5, COLUMN() - (COLUMN($AS23) - 13), 1)</f>
        <v>0</v>
      </c>
      <c r="AU23" s="2" t="str">
        <f t="shared" si="35"/>
        <v>1</v>
      </c>
      <c r="AV23" s="2" t="str">
        <f t="shared" si="35"/>
        <v>0</v>
      </c>
      <c r="AZ23" t="s">
        <v>11</v>
      </c>
      <c r="BA23">
        <f xml:space="preserve"> C5</f>
        <v>17178</v>
      </c>
    </row>
    <row r="24" spans="4:53" x14ac:dyDescent="0.3">
      <c r="AB24" s="1" t="s">
        <v>9</v>
      </c>
      <c r="AC24" t="s">
        <v>61</v>
      </c>
      <c r="AD24" s="2" t="str">
        <f>MID($G10, COLUMN() - (COLUMN($AD24) - 1), 1)</f>
        <v>1</v>
      </c>
      <c r="AE24" s="2" t="str">
        <f t="shared" ref="AE24:AG24" si="36">MID($G10, COLUMN() - (COLUMN($AD24) - 1), 1)</f>
        <v>1</v>
      </c>
      <c r="AF24" s="2" t="str">
        <f t="shared" si="36"/>
        <v>1</v>
      </c>
      <c r="AG24" s="2" t="str">
        <f t="shared" si="36"/>
        <v>0</v>
      </c>
      <c r="AH24" t="s">
        <v>4</v>
      </c>
      <c r="AI24" s="2" t="str">
        <f>MID($G10, COLUMN() - (COLUMN($AI24) - 5), 1)</f>
        <v>0</v>
      </c>
      <c r="AJ24" s="2" t="str">
        <f t="shared" ref="AJ24:AL24" si="37">MID($G10, COLUMN() - (COLUMN($AI24) - 5), 1)</f>
        <v>0</v>
      </c>
      <c r="AK24" s="2" t="str">
        <f t="shared" si="37"/>
        <v>1</v>
      </c>
      <c r="AL24" s="2" t="str">
        <f t="shared" si="37"/>
        <v>1</v>
      </c>
      <c r="AM24" t="s">
        <v>4</v>
      </c>
      <c r="AN24" s="2" t="str">
        <f>MID($G10, COLUMN() - (COLUMN($AN24) - 9), 1)</f>
        <v>0</v>
      </c>
      <c r="AO24" s="2" t="str">
        <f t="shared" ref="AO24:AQ24" si="38">MID($G10, COLUMN() - (COLUMN($AN24) - 9), 1)</f>
        <v>0</v>
      </c>
      <c r="AP24" s="2" t="str">
        <f t="shared" si="38"/>
        <v>1</v>
      </c>
      <c r="AQ24" s="2" t="str">
        <f t="shared" si="38"/>
        <v>0</v>
      </c>
      <c r="AR24" t="s">
        <v>4</v>
      </c>
      <c r="AS24" s="2" t="str">
        <f>MID($G10, COLUMN() - (COLUMN($AS24) - 13), 1)</f>
        <v>0</v>
      </c>
      <c r="AT24" s="2" t="str">
        <f t="shared" ref="AT24:AV24" si="39">MID($G10, COLUMN() - (COLUMN($AS24) - 13), 1)</f>
        <v>0</v>
      </c>
      <c r="AU24" s="2" t="str">
        <f t="shared" si="39"/>
        <v>1</v>
      </c>
      <c r="AV24" s="2" t="str">
        <f t="shared" si="39"/>
        <v>1</v>
      </c>
      <c r="AY24" s="1" t="s">
        <v>9</v>
      </c>
      <c r="AZ24" t="s">
        <v>62</v>
      </c>
      <c r="BA24">
        <f xml:space="preserve"> C10</f>
        <v>-7389</v>
      </c>
    </row>
    <row r="25" spans="4:53" x14ac:dyDescent="0.3">
      <c r="AC25" s="4" t="s">
        <v>15</v>
      </c>
      <c r="AD25" s="4" t="s">
        <v>16</v>
      </c>
      <c r="AE25" s="4" t="s">
        <v>16</v>
      </c>
      <c r="AF25" s="4" t="s">
        <v>16</v>
      </c>
      <c r="AG25" s="4" t="s">
        <v>16</v>
      </c>
      <c r="AH25" s="4" t="s">
        <v>16</v>
      </c>
      <c r="AI25" s="4" t="s">
        <v>16</v>
      </c>
      <c r="AJ25" s="4" t="s">
        <v>16</v>
      </c>
      <c r="AK25" s="4" t="s">
        <v>16</v>
      </c>
      <c r="AL25" s="4" t="s">
        <v>16</v>
      </c>
      <c r="AM25" s="4" t="s">
        <v>16</v>
      </c>
      <c r="AN25" s="4" t="s">
        <v>16</v>
      </c>
      <c r="AO25" s="4" t="s">
        <v>16</v>
      </c>
      <c r="AP25" s="4" t="s">
        <v>16</v>
      </c>
      <c r="AQ25" s="4" t="s">
        <v>16</v>
      </c>
      <c r="AR25" s="4" t="s">
        <v>16</v>
      </c>
      <c r="AS25" s="4" t="s">
        <v>16</v>
      </c>
      <c r="AT25" s="4" t="s">
        <v>16</v>
      </c>
      <c r="AU25" s="4" t="s">
        <v>16</v>
      </c>
      <c r="AV25" s="4" t="s">
        <v>16</v>
      </c>
      <c r="AW25" s="3"/>
      <c r="BA25" s="2" t="s">
        <v>15</v>
      </c>
    </row>
    <row r="26" spans="4:53" x14ac:dyDescent="0.3">
      <c r="AD26" s="2">
        <f>_xlfn.BITXOR(_xlfn.BITXOR(AD23,AD24),AD22)</f>
        <v>0</v>
      </c>
      <c r="AE26" s="2">
        <f>_xlfn.BITXOR(_xlfn.BITXOR(AE23,AE24),AE22)</f>
        <v>0</v>
      </c>
      <c r="AF26" s="2">
        <f>_xlfn.BITXOR(_xlfn.BITXOR(AF23,AF24),AF22)</f>
        <v>1</v>
      </c>
      <c r="AG26" s="2">
        <f>_xlfn.BITXOR(_xlfn.BITXOR(AG23,AG24),AG22)</f>
        <v>0</v>
      </c>
      <c r="AI26" s="2">
        <f>_xlfn.BITXOR(_xlfn.BITXOR(AI23,AI24),AI22)</f>
        <v>0</v>
      </c>
      <c r="AJ26" s="2">
        <f>_xlfn.BITXOR(_xlfn.BITXOR(AJ23,AJ24),AJ22)</f>
        <v>1</v>
      </c>
      <c r="AK26" s="2">
        <f>_xlfn.BITXOR(_xlfn.BITXOR(AK23,AK24),AK22)</f>
        <v>1</v>
      </c>
      <c r="AL26" s="2">
        <f>_xlfn.BITXOR(_xlfn.BITXOR(AL23,AL24),AL22)</f>
        <v>0</v>
      </c>
      <c r="AN26" s="2">
        <f>_xlfn.BITXOR(_xlfn.BITXOR(AN23,AN24),AN22)</f>
        <v>0</v>
      </c>
      <c r="AO26" s="2">
        <f>_xlfn.BITXOR(_xlfn.BITXOR(AO23,AO24),AO22)</f>
        <v>0</v>
      </c>
      <c r="AP26" s="2">
        <f>_xlfn.BITXOR(_xlfn.BITXOR(AP23,AP24),AP22)</f>
        <v>1</v>
      </c>
      <c r="AQ26" s="2">
        <f>_xlfn.BITXOR(_xlfn.BITXOR(AQ23,AQ24),AQ22)</f>
        <v>1</v>
      </c>
      <c r="AS26" s="2">
        <f>_xlfn.BITXOR(_xlfn.BITXOR(AS23,AS24),AS22)</f>
        <v>1</v>
      </c>
      <c r="AT26" s="2">
        <f>_xlfn.BITXOR(_xlfn.BITXOR(AT23,AT24),AT22)</f>
        <v>1</v>
      </c>
      <c r="AU26" s="2">
        <f>_xlfn.BITXOR(_xlfn.BITXOR(AU23,AU24),AU22)</f>
        <v>0</v>
      </c>
      <c r="AV26" s="2">
        <f>_xlfn.BITXOR(_xlfn.BITXOR(AV23,AV24),AV22)</f>
        <v>1</v>
      </c>
      <c r="AW26" s="1" t="s">
        <v>20</v>
      </c>
      <c r="AX26">
        <v>9789</v>
      </c>
      <c r="BA26">
        <f xml:space="preserve"> BA23 +BA24</f>
        <v>9789</v>
      </c>
    </row>
    <row r="28" spans="4:53" x14ac:dyDescent="0.3">
      <c r="AC28" t="s">
        <v>60</v>
      </c>
      <c r="AD28">
        <f xml:space="preserve"> AD22</f>
        <v>1</v>
      </c>
      <c r="AF28" t="s">
        <v>28</v>
      </c>
      <c r="AG28">
        <v>1</v>
      </c>
      <c r="AI28" t="s">
        <v>29</v>
      </c>
      <c r="AJ28">
        <v>0</v>
      </c>
      <c r="AL28" t="s">
        <v>30</v>
      </c>
      <c r="AM28" s="2">
        <f xml:space="preserve"> IF(SUM(AD26:AV26)=0,1,0)</f>
        <v>0</v>
      </c>
      <c r="AO28" t="s">
        <v>31</v>
      </c>
      <c r="AP28">
        <f xml:space="preserve"> AD26</f>
        <v>0</v>
      </c>
      <c r="AR28" t="s">
        <v>32</v>
      </c>
      <c r="AS28">
        <v>0</v>
      </c>
      <c r="AW28" s="5" t="s">
        <v>63</v>
      </c>
    </row>
    <row r="30" spans="4:53" x14ac:dyDescent="0.3">
      <c r="AB30" s="1"/>
    </row>
    <row r="32" spans="4:53" x14ac:dyDescent="0.3">
      <c r="AC32" s="3"/>
      <c r="AD32" s="3">
        <f>IF(OR(AE33+AE34 &gt; 1, AE32 + AE33 &gt; 1, AE32 + AE34 &gt; 1), 1, 0)</f>
        <v>1</v>
      </c>
      <c r="AE32" s="3">
        <f>IF(OR(AF33+AF34 &gt; 1, AF32 + AF33 &gt; 1, AF32 + AF34 &gt; 1), 1, 0)</f>
        <v>1</v>
      </c>
      <c r="AF32" s="3">
        <f>IF(OR(AG33+AG34 &gt; 1, AG32 + AG33 &gt; 1, AG32 + AG34 &gt; 1), 1, 0)</f>
        <v>1</v>
      </c>
      <c r="AG32" s="3">
        <f>IF(OR(AI33+AI34 &gt; 1, AI32 + AI33 &gt; 1, AI32 + AI34 &gt; 1), 1, 0)</f>
        <v>1</v>
      </c>
      <c r="AH32" s="3"/>
      <c r="AI32" s="3">
        <f>IF(OR(AJ33+AJ34 &gt; 1, AJ32 + AJ33 &gt; 1, AJ32 + AJ34 &gt; 1), 1, 0)</f>
        <v>1</v>
      </c>
      <c r="AJ32" s="3">
        <f t="shared" ref="AJ32" si="40">IF(OR(AK33+AK34 &gt; 1, AK32 + AK33 &gt; 1, AK32 + AK34 &gt; 1), 1, 0)</f>
        <v>1</v>
      </c>
      <c r="AK32" s="3">
        <f t="shared" ref="AK32" si="41">IF(OR(AL33+AL34 &gt; 1, AL32 + AL33 &gt; 1, AL32 + AL34 &gt; 1), 1, 0)</f>
        <v>1</v>
      </c>
      <c r="AL32" s="3">
        <f>IF(OR(AN33+AN34 &gt; 1, AN32 + AN33 &gt; 1, AN32 + AN34 &gt; 1), 1, 0)</f>
        <v>1</v>
      </c>
      <c r="AM32" s="3"/>
      <c r="AN32" s="3">
        <f>IF(OR(AO33+AO34 &gt; 1, AO32 + AO33 &gt; 1, AO32 + AO34 &gt; 1), 1, 0)</f>
        <v>1</v>
      </c>
      <c r="AO32" s="3">
        <f t="shared" ref="AO32" si="42">IF(OR(AP33+AP34 &gt; 1, AP32 + AP33 &gt; 1, AP32 + AP34 &gt; 1), 1, 0)</f>
        <v>1</v>
      </c>
      <c r="AP32" s="3">
        <f t="shared" ref="AP32" si="43">IF(OR(AQ33+AQ34 &gt; 1, AQ32 + AQ33 &gt; 1, AQ32 + AQ34 &gt; 1), 1, 0)</f>
        <v>0</v>
      </c>
      <c r="AQ32" s="3">
        <f>IF(OR(AS33+AS34 &gt; 1, AS32 + AS33 &gt; 1, AS32 + AS34 &gt; 1), 1, 0)</f>
        <v>0</v>
      </c>
      <c r="AR32" s="3"/>
      <c r="AS32" s="3">
        <f>IF(OR(AT33+AT34 &gt; 1, AT32 + AT33 &gt; 1, AT32 + AT34 &gt; 1), 1, 0)</f>
        <v>1</v>
      </c>
      <c r="AT32" s="3">
        <f t="shared" ref="AT32" si="44">IF(OR(AU33+AU34 &gt; 1, AU32 + AU33 &gt; 1, AU32 + AU34 &gt; 1), 1, 0)</f>
        <v>1</v>
      </c>
      <c r="AU32" s="3">
        <f t="shared" ref="AU32" si="45">IF(OR(AV33+AV34 &gt; 1, AV32 + AV33 &gt; 1, AV32 + AV34 &gt; 1), 1, 0)</f>
        <v>0</v>
      </c>
    </row>
    <row r="33" spans="28:53" x14ac:dyDescent="0.3">
      <c r="AC33" t="s">
        <v>61</v>
      </c>
      <c r="AD33" s="2" t="str">
        <f>MID($G10, COLUMN() - (COLUMN($AD33) - 1), 1)</f>
        <v>1</v>
      </c>
      <c r="AE33" s="2" t="str">
        <f t="shared" ref="AE33:AG34" si="46">MID($G10, COLUMN() - (COLUMN($AD33) - 1), 1)</f>
        <v>1</v>
      </c>
      <c r="AF33" s="2" t="str">
        <f t="shared" si="46"/>
        <v>1</v>
      </c>
      <c r="AG33" s="2" t="str">
        <f t="shared" si="46"/>
        <v>0</v>
      </c>
      <c r="AH33" t="s">
        <v>4</v>
      </c>
      <c r="AI33" s="2" t="str">
        <f>MID($G10, COLUMN() - (COLUMN($AI33) - 5), 1)</f>
        <v>0</v>
      </c>
      <c r="AJ33" s="2" t="str">
        <f t="shared" ref="AJ33:AL34" si="47">MID($G10, COLUMN() - (COLUMN($AI33) - 5), 1)</f>
        <v>0</v>
      </c>
      <c r="AK33" s="2" t="str">
        <f t="shared" si="47"/>
        <v>1</v>
      </c>
      <c r="AL33" s="2" t="str">
        <f t="shared" si="47"/>
        <v>1</v>
      </c>
      <c r="AM33" t="s">
        <v>4</v>
      </c>
      <c r="AN33" s="2" t="str">
        <f>MID($G10, COLUMN() - (COLUMN($AN33) - 9), 1)</f>
        <v>0</v>
      </c>
      <c r="AO33" s="2" t="str">
        <f t="shared" ref="AO33:AQ34" si="48">MID($G10, COLUMN() - (COLUMN($AN33) - 9), 1)</f>
        <v>0</v>
      </c>
      <c r="AP33" s="2" t="str">
        <f t="shared" si="48"/>
        <v>1</v>
      </c>
      <c r="AQ33" s="2" t="str">
        <f t="shared" si="48"/>
        <v>0</v>
      </c>
      <c r="AR33" t="s">
        <v>4</v>
      </c>
      <c r="AS33" s="2" t="str">
        <f>MID($G10, COLUMN() - (COLUMN($AS33) - 13), 1)</f>
        <v>0</v>
      </c>
      <c r="AT33" s="2" t="str">
        <f t="shared" ref="AT33:AV34" si="49">MID($G10, COLUMN() - (COLUMN($AS33) - 13), 1)</f>
        <v>0</v>
      </c>
      <c r="AU33" s="2" t="str">
        <f t="shared" si="49"/>
        <v>1</v>
      </c>
      <c r="AV33" s="2" t="str">
        <f t="shared" si="49"/>
        <v>1</v>
      </c>
      <c r="AZ33" t="s">
        <v>62</v>
      </c>
      <c r="BA33">
        <f xml:space="preserve"> C10</f>
        <v>-7389</v>
      </c>
    </row>
    <row r="34" spans="28:53" x14ac:dyDescent="0.3">
      <c r="AB34" s="1" t="s">
        <v>9</v>
      </c>
      <c r="AC34" t="s">
        <v>64</v>
      </c>
      <c r="AD34" s="2" t="str">
        <f>MID($G11, COLUMN() - (COLUMN($AD34) - 1), 1)</f>
        <v>1</v>
      </c>
      <c r="AE34" s="2" t="str">
        <f t="shared" si="46"/>
        <v>0</v>
      </c>
      <c r="AF34" s="2" t="str">
        <f t="shared" si="46"/>
        <v>1</v>
      </c>
      <c r="AG34" s="2" t="str">
        <f t="shared" si="46"/>
        <v>1</v>
      </c>
      <c r="AH34" t="s">
        <v>4</v>
      </c>
      <c r="AI34" s="2" t="str">
        <f>MID($G11, COLUMN() - (COLUMN($AI34) - 5), 1)</f>
        <v>1</v>
      </c>
      <c r="AJ34" s="2" t="str">
        <f t="shared" si="47"/>
        <v>1</v>
      </c>
      <c r="AK34" s="2" t="str">
        <f t="shared" si="47"/>
        <v>0</v>
      </c>
      <c r="AL34" s="2" t="str">
        <f t="shared" si="47"/>
        <v>0</v>
      </c>
      <c r="AM34" t="s">
        <v>4</v>
      </c>
      <c r="AN34" s="2" t="str">
        <f>MID($G11, COLUMN() - (COLUMN($AN34) - 9), 1)</f>
        <v>1</v>
      </c>
      <c r="AO34" s="2" t="str">
        <f t="shared" si="48"/>
        <v>1</v>
      </c>
      <c r="AP34" s="2" t="str">
        <f t="shared" si="48"/>
        <v>1</v>
      </c>
      <c r="AQ34" s="2" t="str">
        <f t="shared" si="48"/>
        <v>0</v>
      </c>
      <c r="AR34" t="s">
        <v>4</v>
      </c>
      <c r="AS34" s="2" t="str">
        <f>MID($G11, COLUMN() - (COLUMN($AS34) - 13), 1)</f>
        <v>0</v>
      </c>
      <c r="AT34" s="2" t="str">
        <f t="shared" si="49"/>
        <v>1</v>
      </c>
      <c r="AU34" s="2" t="str">
        <f t="shared" si="49"/>
        <v>1</v>
      </c>
      <c r="AZ34" t="s">
        <v>65</v>
      </c>
      <c r="BA34">
        <f xml:space="preserve"> C11</f>
        <v>-17178</v>
      </c>
    </row>
    <row r="35" spans="28:53" x14ac:dyDescent="0.3">
      <c r="AC35" s="4" t="s">
        <v>15</v>
      </c>
      <c r="AD35" s="4" t="s">
        <v>16</v>
      </c>
      <c r="AE35" s="4" t="s">
        <v>16</v>
      </c>
      <c r="AF35" s="4" t="s">
        <v>16</v>
      </c>
      <c r="AG35" s="4" t="s">
        <v>16</v>
      </c>
      <c r="AH35" s="4" t="s">
        <v>16</v>
      </c>
      <c r="AI35" s="4" t="s">
        <v>16</v>
      </c>
      <c r="AJ35" s="4" t="s">
        <v>16</v>
      </c>
      <c r="AK35" s="4" t="s">
        <v>16</v>
      </c>
      <c r="AL35" s="4" t="s">
        <v>16</v>
      </c>
      <c r="AM35" s="4" t="s">
        <v>16</v>
      </c>
      <c r="AN35" s="4" t="s">
        <v>16</v>
      </c>
      <c r="AO35" s="4" t="s">
        <v>16</v>
      </c>
      <c r="AP35" s="4" t="s">
        <v>16</v>
      </c>
      <c r="AQ35" s="4" t="s">
        <v>16</v>
      </c>
      <c r="AR35" s="4" t="s">
        <v>16</v>
      </c>
      <c r="AS35" s="4" t="s">
        <v>16</v>
      </c>
      <c r="AT35" s="4" t="s">
        <v>16</v>
      </c>
      <c r="AU35" s="4" t="s">
        <v>16</v>
      </c>
      <c r="AV35" s="4" t="s">
        <v>16</v>
      </c>
      <c r="AW35" s="3"/>
      <c r="BA35" s="2" t="s">
        <v>15</v>
      </c>
    </row>
    <row r="36" spans="28:53" x14ac:dyDescent="0.3">
      <c r="AD36" s="2">
        <f>_xlfn.BITXOR(_xlfn.BITXOR(AD33,AD34),AD32)</f>
        <v>1</v>
      </c>
      <c r="AE36" s="2">
        <f>_xlfn.BITXOR(_xlfn.BITXOR(AE33,AE34),AE32)</f>
        <v>0</v>
      </c>
      <c r="AF36" s="2">
        <f>_xlfn.BITXOR(_xlfn.BITXOR(AF33,AF34),AF32)</f>
        <v>1</v>
      </c>
      <c r="AG36" s="2">
        <f>_xlfn.BITXOR(_xlfn.BITXOR(AG33,AG34),AG32)</f>
        <v>0</v>
      </c>
      <c r="AI36" s="2">
        <f>_xlfn.BITXOR(_xlfn.BITXOR(AI33,AI34),AI32)</f>
        <v>0</v>
      </c>
      <c r="AJ36" s="2">
        <f>_xlfn.BITXOR(_xlfn.BITXOR(AJ33,AJ34),AJ32)</f>
        <v>0</v>
      </c>
      <c r="AK36" s="2">
        <f>_xlfn.BITXOR(_xlfn.BITXOR(AK33,AK34),AK32)</f>
        <v>0</v>
      </c>
      <c r="AL36" s="2">
        <f>_xlfn.BITXOR(_xlfn.BITXOR(AL33,AL34),AL32)</f>
        <v>0</v>
      </c>
      <c r="AN36" s="2">
        <f>_xlfn.BITXOR(_xlfn.BITXOR(AN33,AN34),AN32)</f>
        <v>0</v>
      </c>
      <c r="AO36" s="2">
        <f>_xlfn.BITXOR(_xlfn.BITXOR(AO33,AO34),AO32)</f>
        <v>0</v>
      </c>
      <c r="AP36" s="2">
        <f>_xlfn.BITXOR(_xlfn.BITXOR(AP33,AP34),AP32)</f>
        <v>0</v>
      </c>
      <c r="AQ36" s="2">
        <f>_xlfn.BITXOR(_xlfn.BITXOR(AQ33,AQ34),AQ32)</f>
        <v>0</v>
      </c>
      <c r="AS36" s="2">
        <f>_xlfn.BITXOR(_xlfn.BITXOR(AS33,AS34),AS32)</f>
        <v>1</v>
      </c>
      <c r="AT36" s="2">
        <f>_xlfn.BITXOR(_xlfn.BITXOR(AT33,AT34),AT32)</f>
        <v>0</v>
      </c>
      <c r="AU36" s="2">
        <f>_xlfn.BITXOR(_xlfn.BITXOR(AU33,AU34),AU32)</f>
        <v>0</v>
      </c>
      <c r="AV36" s="2">
        <f>_xlfn.BITXOR(_xlfn.BITXOR(AV33,AV34),AV32)</f>
        <v>1</v>
      </c>
      <c r="AW36" s="1" t="s">
        <v>20</v>
      </c>
      <c r="AX36">
        <v>-40969</v>
      </c>
      <c r="BA36">
        <f xml:space="preserve"> BA33 +BA34</f>
        <v>-24567</v>
      </c>
    </row>
    <row r="38" spans="28:53" x14ac:dyDescent="0.3">
      <c r="AC38" t="s">
        <v>60</v>
      </c>
      <c r="AD38">
        <f xml:space="preserve"> AD32</f>
        <v>1</v>
      </c>
      <c r="AF38" t="s">
        <v>28</v>
      </c>
      <c r="AI38" t="s">
        <v>29</v>
      </c>
      <c r="AJ38">
        <v>0</v>
      </c>
      <c r="AL38" t="s">
        <v>30</v>
      </c>
      <c r="AM38" s="2">
        <f xml:space="preserve"> IF(SUM(AD36:AV36)=0,1,0)</f>
        <v>0</v>
      </c>
      <c r="AO38" t="s">
        <v>31</v>
      </c>
      <c r="AP38">
        <f xml:space="preserve"> AD36</f>
        <v>1</v>
      </c>
      <c r="AR38" t="s">
        <v>32</v>
      </c>
      <c r="AS38">
        <v>0</v>
      </c>
      <c r="AW38" t="s">
        <v>66</v>
      </c>
    </row>
    <row r="42" spans="28:53" x14ac:dyDescent="0.3">
      <c r="AC42" s="3"/>
      <c r="AD42" s="3">
        <f>IF(OR(AE43+AE44 &gt; 1, AE42 + AE43 &gt; 1, AE42 + AE44 &gt; 1), 1, 0)</f>
        <v>0</v>
      </c>
      <c r="AE42" s="3">
        <f>IF(OR(AF43+AF44 &gt; 1, AF42 + AF43 &gt; 1, AF42 + AF44 &gt; 1), 1, 0)</f>
        <v>1</v>
      </c>
      <c r="AF42" s="3">
        <f>IF(OR(AG43+AG44 &gt; 1, AG42 + AG43 &gt; 1, AG42 + AG44 &gt; 1), 1, 0)</f>
        <v>0</v>
      </c>
      <c r="AG42" s="3">
        <f>IF(OR(AI43+AI44 &gt; 1, AI42 + AI43 &gt; 1, AI42 + AI44 &gt; 1), 1, 0)</f>
        <v>0</v>
      </c>
      <c r="AH42" s="3"/>
      <c r="AI42" s="3">
        <f>IF(OR(AJ43+AJ44 &gt; 1, AJ42 + AJ43 &gt; 1, AJ42 + AJ44 &gt; 1), 1, 0)</f>
        <v>0</v>
      </c>
      <c r="AJ42" s="3">
        <f t="shared" ref="AJ42" si="50">IF(OR(AK43+AK44 &gt; 1, AK42 + AK43 &gt; 1, AK42 + AK44 &gt; 1), 1, 0)</f>
        <v>0</v>
      </c>
      <c r="AK42" s="3">
        <f t="shared" ref="AK42" si="51">IF(OR(AL43+AL44 &gt; 1, AL42 + AL43 &gt; 1, AL42 + AL44 &gt; 1), 1, 0)</f>
        <v>0</v>
      </c>
      <c r="AL42" s="3">
        <f>IF(OR(AN43+AN44 &gt; 1, AN42 + AN43 &gt; 1, AN42 + AN44 &gt; 1), 1, 0)</f>
        <v>0</v>
      </c>
      <c r="AM42" s="3"/>
      <c r="AN42" s="3">
        <f>IF(OR(AO43+AO44 &gt; 1, AO42 + AO43 &gt; 1, AO42 + AO44 &gt; 1), 1, 0)</f>
        <v>0</v>
      </c>
      <c r="AO42" s="3">
        <f t="shared" ref="AO42" si="52">IF(OR(AP43+AP44 &gt; 1, AP42 + AP43 &gt; 1, AP42 + AP44 &gt; 1), 1, 0)</f>
        <v>0</v>
      </c>
      <c r="AP42" s="3">
        <f t="shared" ref="AP42" si="53">IF(OR(AQ43+AQ44 &gt; 1, AQ42 + AQ43 &gt; 1, AQ42 + AQ44 &gt; 1), 1, 0)</f>
        <v>0</v>
      </c>
      <c r="AQ42" s="3">
        <f>IF(OR(AS43+AS44 &gt; 1, AS42 + AS43 &gt; 1, AS42 + AS44 &gt; 1), 1, 0)</f>
        <v>0</v>
      </c>
      <c r="AR42" s="3"/>
      <c r="AS42" s="3">
        <f>IF(OR(AT43+AT44 &gt; 1, AT42 + AT43 &gt; 1, AT42 + AT44 &gt; 1), 1, 0)</f>
        <v>0</v>
      </c>
      <c r="AT42" s="3">
        <f t="shared" ref="AT42" si="54">IF(OR(AU43+AU44 &gt; 1, AU42 + AU43 &gt; 1, AU42 + AU44 &gt; 1), 1, 0)</f>
        <v>0</v>
      </c>
      <c r="AU42" s="3">
        <f t="shared" ref="AU42" si="55">IF(OR(AV43+AV44 &gt; 1, AV42 + AV43 &gt; 1, AV42 + AV44 &gt; 1), 1, 0)</f>
        <v>0</v>
      </c>
    </row>
    <row r="43" spans="28:53" x14ac:dyDescent="0.3">
      <c r="AC43" t="s">
        <v>64</v>
      </c>
      <c r="AD43" s="2" t="str">
        <f>MID($G11, COLUMN() - (COLUMN($AD43) - 1), 1)</f>
        <v>1</v>
      </c>
      <c r="AE43" s="2" t="str">
        <f t="shared" ref="AE43:AG44" si="56">MID($G11, COLUMN() - (COLUMN($AD43) - 1), 1)</f>
        <v>0</v>
      </c>
      <c r="AF43" s="2" t="str">
        <f t="shared" si="56"/>
        <v>1</v>
      </c>
      <c r="AG43" s="2" t="str">
        <f t="shared" si="56"/>
        <v>1</v>
      </c>
      <c r="AH43" t="s">
        <v>4</v>
      </c>
      <c r="AI43" s="2" t="str">
        <f>MID($G11, COLUMN() - (COLUMN($AI43) - 5), 1)</f>
        <v>1</v>
      </c>
      <c r="AJ43" s="2" t="str">
        <f t="shared" ref="AJ43:AL44" si="57">MID($G11, COLUMN() - (COLUMN($AI43) - 5), 1)</f>
        <v>1</v>
      </c>
      <c r="AK43" s="2" t="str">
        <f t="shared" si="57"/>
        <v>0</v>
      </c>
      <c r="AL43" s="2" t="str">
        <f t="shared" si="57"/>
        <v>0</v>
      </c>
      <c r="AM43" t="s">
        <v>4</v>
      </c>
      <c r="AN43" s="2" t="str">
        <f>MID($G11, COLUMN() - (COLUMN($AN43) - 9), 1)</f>
        <v>1</v>
      </c>
      <c r="AO43" s="2" t="str">
        <f t="shared" ref="AO43:AQ44" si="58">MID($G11, COLUMN() - (COLUMN($AN43) - 9), 1)</f>
        <v>1</v>
      </c>
      <c r="AP43" s="2" t="str">
        <f t="shared" si="58"/>
        <v>1</v>
      </c>
      <c r="AQ43" s="2" t="str">
        <f t="shared" si="58"/>
        <v>0</v>
      </c>
      <c r="AR43" t="s">
        <v>4</v>
      </c>
      <c r="AS43" s="2" t="str">
        <f>MID($G11, COLUMN() - (COLUMN($AS43) - 13), 1)</f>
        <v>0</v>
      </c>
      <c r="AT43" s="2" t="str">
        <f t="shared" ref="AT43:AV44" si="59">MID($G11, COLUMN() - (COLUMN($AS43) - 13), 1)</f>
        <v>1</v>
      </c>
      <c r="AU43" s="2" t="str">
        <f t="shared" si="59"/>
        <v>1</v>
      </c>
      <c r="AV43" s="2" t="str">
        <f t="shared" si="59"/>
        <v>0</v>
      </c>
      <c r="AZ43" t="s">
        <v>65</v>
      </c>
      <c r="BA43">
        <f xml:space="preserve"> C11</f>
        <v>-17178</v>
      </c>
    </row>
    <row r="44" spans="28:53" x14ac:dyDescent="0.3">
      <c r="AB44" s="1" t="s">
        <v>9</v>
      </c>
      <c r="AC44" t="s">
        <v>67</v>
      </c>
      <c r="AD44" s="2" t="str">
        <f>MID($G12, COLUMN() - (COLUMN($AD44) - 1), 1)</f>
        <v>1</v>
      </c>
      <c r="AE44" s="2" t="str">
        <f t="shared" si="56"/>
        <v>0</v>
      </c>
      <c r="AF44" s="2" t="str">
        <f t="shared" si="56"/>
        <v>1</v>
      </c>
      <c r="AG44" s="2" t="str">
        <f t="shared" si="56"/>
        <v>0</v>
      </c>
      <c r="AH44" t="s">
        <v>4</v>
      </c>
      <c r="AI44" s="2" t="str">
        <f>MID($G12, COLUMN() - (COLUMN($AI44) - 5), 1)</f>
        <v>0</v>
      </c>
      <c r="AJ44" s="2" t="str">
        <f t="shared" si="57"/>
        <v>0</v>
      </c>
      <c r="AK44" s="2" t="str">
        <f t="shared" si="57"/>
        <v>0</v>
      </c>
      <c r="AL44" s="2" t="str">
        <f t="shared" si="57"/>
        <v>0</v>
      </c>
      <c r="AM44" t="s">
        <v>4</v>
      </c>
      <c r="AN44" s="2" t="str">
        <f>MID($G12, COLUMN() - (COLUMN($AN44) - 9), 1)</f>
        <v>0</v>
      </c>
      <c r="AO44" s="2" t="str">
        <f t="shared" si="58"/>
        <v>0</v>
      </c>
      <c r="AP44" s="2" t="str">
        <f t="shared" si="58"/>
        <v>0</v>
      </c>
      <c r="AQ44" s="2" t="str">
        <f t="shared" si="58"/>
        <v>0</v>
      </c>
      <c r="AR44" t="s">
        <v>4</v>
      </c>
      <c r="AS44" s="2" t="str">
        <f>MID($G12, COLUMN() - (COLUMN($AS44) - 13), 1)</f>
        <v>1</v>
      </c>
      <c r="AT44" s="2" t="str">
        <f t="shared" si="59"/>
        <v>0</v>
      </c>
      <c r="AU44" s="2" t="str">
        <f t="shared" si="59"/>
        <v>0</v>
      </c>
      <c r="AV44" s="2" t="str">
        <f t="shared" si="59"/>
        <v>1</v>
      </c>
      <c r="AY44" s="1" t="s">
        <v>9</v>
      </c>
      <c r="AZ44" t="s">
        <v>68</v>
      </c>
      <c r="BA44">
        <f xml:space="preserve"> C12</f>
        <v>-24567</v>
      </c>
    </row>
    <row r="45" spans="28:53" x14ac:dyDescent="0.3">
      <c r="AC45" s="4" t="s">
        <v>15</v>
      </c>
      <c r="AD45" s="4" t="s">
        <v>16</v>
      </c>
      <c r="AE45" s="4" t="s">
        <v>16</v>
      </c>
      <c r="AF45" s="4" t="s">
        <v>16</v>
      </c>
      <c r="AG45" s="4" t="s">
        <v>16</v>
      </c>
      <c r="AH45" s="4" t="s">
        <v>16</v>
      </c>
      <c r="AI45" s="4" t="s">
        <v>16</v>
      </c>
      <c r="AJ45" s="4" t="s">
        <v>16</v>
      </c>
      <c r="AK45" s="4" t="s">
        <v>16</v>
      </c>
      <c r="AL45" s="4" t="s">
        <v>16</v>
      </c>
      <c r="AM45" s="4" t="s">
        <v>16</v>
      </c>
      <c r="AN45" s="4" t="s">
        <v>16</v>
      </c>
      <c r="AO45" s="4" t="s">
        <v>16</v>
      </c>
      <c r="AP45" s="4" t="s">
        <v>16</v>
      </c>
      <c r="AQ45" s="4" t="s">
        <v>16</v>
      </c>
      <c r="AR45" s="4" t="s">
        <v>16</v>
      </c>
      <c r="AS45" s="4" t="s">
        <v>16</v>
      </c>
      <c r="AT45" s="4" t="s">
        <v>16</v>
      </c>
      <c r="AU45" s="4" t="s">
        <v>16</v>
      </c>
      <c r="AV45" s="4" t="s">
        <v>16</v>
      </c>
      <c r="AW45" s="3"/>
      <c r="BA45" s="2" t="s">
        <v>15</v>
      </c>
    </row>
    <row r="46" spans="28:53" x14ac:dyDescent="0.3">
      <c r="AD46" s="2">
        <f>_xlfn.BITXOR(_xlfn.BITXOR(AD43,AD44),AD42)</f>
        <v>0</v>
      </c>
      <c r="AE46" s="2">
        <f>_xlfn.BITXOR(_xlfn.BITXOR(AE43,AE44),AE42)</f>
        <v>1</v>
      </c>
      <c r="AF46" s="2">
        <f>_xlfn.BITXOR(_xlfn.BITXOR(AF43,AF44),AF42)</f>
        <v>0</v>
      </c>
      <c r="AG46" s="2">
        <f>_xlfn.BITXOR(_xlfn.BITXOR(AG43,AG44),AG42)</f>
        <v>1</v>
      </c>
      <c r="AI46" s="2">
        <f>_xlfn.BITXOR(_xlfn.BITXOR(AI43,AI44),AI42)</f>
        <v>1</v>
      </c>
      <c r="AJ46" s="2">
        <f>_xlfn.BITXOR(_xlfn.BITXOR(AJ43,AJ44),AJ42)</f>
        <v>1</v>
      </c>
      <c r="AK46" s="2">
        <f>_xlfn.BITXOR(_xlfn.BITXOR(AK43,AK44),AK42)</f>
        <v>0</v>
      </c>
      <c r="AL46" s="2">
        <f>_xlfn.BITXOR(_xlfn.BITXOR(AL43,AL44),AL42)</f>
        <v>0</v>
      </c>
      <c r="AN46" s="2">
        <f>_xlfn.BITXOR(_xlfn.BITXOR(AN43,AN44),AN42)</f>
        <v>1</v>
      </c>
      <c r="AO46" s="2">
        <f>_xlfn.BITXOR(_xlfn.BITXOR(AO43,AO44),AO42)</f>
        <v>1</v>
      </c>
      <c r="AP46" s="2">
        <f>_xlfn.BITXOR(_xlfn.BITXOR(AP43,AP44),AP42)</f>
        <v>1</v>
      </c>
      <c r="AQ46" s="2">
        <f>_xlfn.BITXOR(_xlfn.BITXOR(AQ43,AQ44),AQ42)</f>
        <v>0</v>
      </c>
      <c r="AS46" s="2">
        <f>_xlfn.BITXOR(_xlfn.BITXOR(AS43,AS44),AS42)</f>
        <v>1</v>
      </c>
      <c r="AT46" s="2">
        <f>_xlfn.BITXOR(_xlfn.BITXOR(AT43,AT44),AT42)</f>
        <v>1</v>
      </c>
      <c r="AU46" s="2">
        <f>_xlfn.BITXOR(_xlfn.BITXOR(AU43,AU44),AU42)</f>
        <v>1</v>
      </c>
      <c r="AV46" s="2">
        <f>_xlfn.BITXOR(_xlfn.BITXOR(AV43,AV44),AV42)</f>
        <v>1</v>
      </c>
      <c r="AW46" s="1" t="s">
        <v>20</v>
      </c>
      <c r="AX46">
        <v>23791</v>
      </c>
      <c r="BA46">
        <f xml:space="preserve"> BA43 +BA44</f>
        <v>-41745</v>
      </c>
    </row>
    <row r="48" spans="28:53" x14ac:dyDescent="0.3">
      <c r="AC48" t="s">
        <v>60</v>
      </c>
      <c r="AD48">
        <f xml:space="preserve"> AD42</f>
        <v>0</v>
      </c>
      <c r="AF48" t="s">
        <v>28</v>
      </c>
      <c r="AG48">
        <v>0</v>
      </c>
      <c r="AI48" t="s">
        <v>29</v>
      </c>
      <c r="AJ48">
        <v>1</v>
      </c>
      <c r="AL48" t="s">
        <v>30</v>
      </c>
      <c r="AM48" s="2">
        <f xml:space="preserve"> IF(SUM(AD46:AV46)=0,1,0)</f>
        <v>0</v>
      </c>
      <c r="AO48" t="s">
        <v>31</v>
      </c>
      <c r="AP48">
        <f xml:space="preserve"> AD46</f>
        <v>0</v>
      </c>
      <c r="AR48" t="s">
        <v>32</v>
      </c>
      <c r="AS48">
        <v>1</v>
      </c>
      <c r="AW48" t="s">
        <v>69</v>
      </c>
    </row>
    <row r="52" spans="28:53" x14ac:dyDescent="0.3">
      <c r="AC52" s="3"/>
      <c r="AD52" s="3">
        <f>IF(OR(AE53+AE54 &gt; 1, AE52 + AE53 &gt; 1, AE52 + AE54 &gt; 1), 1, 0)</f>
        <v>0</v>
      </c>
      <c r="AE52" s="3">
        <f>IF(OR(AF53+AF54 &gt; 1, AF52 + AF53 &gt; 1, AF52 + AF54 &gt; 1), 1, 0)</f>
        <v>1</v>
      </c>
      <c r="AF52" s="3">
        <f>IF(OR(AG53+AG54 &gt; 1, AG52 + AG53 &gt; 1, AG52 + AG54 &gt; 1), 1, 0)</f>
        <v>1</v>
      </c>
      <c r="AG52" s="3">
        <f>IF(OR(AI53+AI54 &gt; 1, AI52 + AI53 &gt; 1, AI52 + AI54 &gt; 1), 1, 0)</f>
        <v>1</v>
      </c>
      <c r="AH52" s="3"/>
      <c r="AI52" s="3">
        <f>IF(OR(AJ53+AJ54 &gt; 1, AJ52 + AJ53 &gt; 1, AJ52 + AJ54 &gt; 1), 1, 0)</f>
        <v>1</v>
      </c>
      <c r="AJ52" s="3">
        <f t="shared" ref="AJ52" si="60">IF(OR(AK53+AK54 &gt; 1, AK52 + AK53 &gt; 1, AK52 + AK54 &gt; 1), 1, 0)</f>
        <v>0</v>
      </c>
      <c r="AK52" s="3">
        <f t="shared" ref="AK52" si="61">IF(OR(AL53+AL54 &gt; 1, AL52 + AL53 &gt; 1, AL52 + AL54 &gt; 1), 1, 0)</f>
        <v>0</v>
      </c>
      <c r="AL52" s="3">
        <f>IF(OR(AN53+AN54 &gt; 1, AN52 + AN53 &gt; 1, AN52 + AN54 &gt; 1), 1, 0)</f>
        <v>1</v>
      </c>
      <c r="AM52" s="3"/>
      <c r="AN52" s="3">
        <f>IF(OR(AO53+AO54 &gt; 1, AO52 + AO53 &gt; 1, AO52 + AO54 &gt; 1), 1, 0)</f>
        <v>1</v>
      </c>
      <c r="AO52" s="3">
        <f t="shared" ref="AO52" si="62">IF(OR(AP53+AP54 &gt; 1, AP52 + AP53 &gt; 1, AP52 + AP54 &gt; 1), 1, 0)</f>
        <v>1</v>
      </c>
      <c r="AP52" s="3">
        <f t="shared" ref="AP52" si="63">IF(OR(AQ53+AQ54 &gt; 1, AQ52 + AQ53 &gt; 1, AQ52 + AQ54 &gt; 1), 1, 0)</f>
        <v>1</v>
      </c>
      <c r="AQ52" s="3">
        <f>IF(OR(AS53+AS54 &gt; 1, AS52 + AS53 &gt; 1, AS52 + AS54 &gt; 1), 1, 0)</f>
        <v>1</v>
      </c>
      <c r="AR52" s="3"/>
      <c r="AS52" s="3">
        <f>IF(OR(AT53+AT54 &gt; 1, AT52 + AT53 &gt; 1, AT52 + AT54 &gt; 1), 1, 0)</f>
        <v>1</v>
      </c>
      <c r="AT52" s="3">
        <f t="shared" ref="AT52" si="64">IF(OR(AU53+AU54 &gt; 1, AU52 + AU53 &gt; 1, AU52 + AU54 &gt; 1), 1, 0)</f>
        <v>0</v>
      </c>
      <c r="AU52" s="3">
        <f t="shared" ref="AU52" si="65">IF(OR(AV53+AV54 &gt; 1, AV52 + AV53 &gt; 1, AV52 + AV54 &gt; 1), 1, 0)</f>
        <v>0</v>
      </c>
    </row>
    <row r="53" spans="28:53" x14ac:dyDescent="0.3">
      <c r="AC53" t="s">
        <v>5</v>
      </c>
      <c r="AD53" s="2" t="str">
        <f>MID($G4, COLUMN() - (COLUMN($AD53) - 1), 1)</f>
        <v>0</v>
      </c>
      <c r="AE53" s="2" t="str">
        <f t="shared" ref="AE53:AG53" si="66">MID($G4, COLUMN() - (COLUMN($AD53) - 1), 1)</f>
        <v>0</v>
      </c>
      <c r="AF53" s="2" t="str">
        <f t="shared" si="66"/>
        <v>0</v>
      </c>
      <c r="AG53" s="2" t="str">
        <f t="shared" si="66"/>
        <v>1</v>
      </c>
      <c r="AH53" t="s">
        <v>4</v>
      </c>
      <c r="AI53" s="2" t="str">
        <f>MID($G4, COLUMN() - (COLUMN($AI53) - 5), 1)</f>
        <v>1</v>
      </c>
      <c r="AJ53" s="2" t="str">
        <f t="shared" ref="AJ53:AL53" si="67">MID($G4, COLUMN() - (COLUMN($AI53) - 5), 1)</f>
        <v>1</v>
      </c>
      <c r="AK53" s="2" t="str">
        <f t="shared" si="67"/>
        <v>0</v>
      </c>
      <c r="AL53" s="2" t="str">
        <f t="shared" si="67"/>
        <v>0</v>
      </c>
      <c r="AM53" t="s">
        <v>4</v>
      </c>
      <c r="AN53" s="2" t="str">
        <f>MID($G4, COLUMN() - (COLUMN($AN53) - 9), 1)</f>
        <v>1</v>
      </c>
      <c r="AO53" s="2" t="str">
        <f t="shared" ref="AO53:AQ53" si="68">MID($G4, COLUMN() - (COLUMN($AN53) - 9), 1)</f>
        <v>1</v>
      </c>
      <c r="AP53" s="2" t="str">
        <f t="shared" si="68"/>
        <v>0</v>
      </c>
      <c r="AQ53" s="2" t="str">
        <f t="shared" si="68"/>
        <v>1</v>
      </c>
      <c r="AR53" t="s">
        <v>4</v>
      </c>
      <c r="AS53" s="2" t="str">
        <f>MID($G4, COLUMN() - (COLUMN($AS53) - 13), 1)</f>
        <v>1</v>
      </c>
      <c r="AT53" s="2" t="str">
        <f t="shared" ref="AT53:AV53" si="69">MID($G4, COLUMN() - (COLUMN($AS53) - 13), 1)</f>
        <v>1</v>
      </c>
      <c r="AU53" s="2" t="str">
        <f t="shared" si="69"/>
        <v>0</v>
      </c>
      <c r="AV53" s="2" t="str">
        <f t="shared" si="69"/>
        <v>1</v>
      </c>
      <c r="AZ53" t="s">
        <v>6</v>
      </c>
      <c r="BA53">
        <f xml:space="preserve"> C4</f>
        <v>7389</v>
      </c>
    </row>
    <row r="54" spans="28:53" x14ac:dyDescent="0.3">
      <c r="AB54" s="1" t="s">
        <v>9</v>
      </c>
      <c r="AC54" t="s">
        <v>64</v>
      </c>
      <c r="AD54" s="2" t="str">
        <f>MID($G11, COLUMN() - (COLUMN($AD54) - 1), 1)</f>
        <v>1</v>
      </c>
      <c r="AE54" s="2" t="str">
        <f t="shared" ref="AE54:AG54" si="70">MID($G11, COLUMN() - (COLUMN($AD54) - 1), 1)</f>
        <v>0</v>
      </c>
      <c r="AF54" s="2" t="str">
        <f t="shared" si="70"/>
        <v>1</v>
      </c>
      <c r="AG54" s="2" t="str">
        <f t="shared" si="70"/>
        <v>1</v>
      </c>
      <c r="AH54" t="s">
        <v>4</v>
      </c>
      <c r="AI54" s="2" t="str">
        <f>MID($G11, COLUMN() - (COLUMN($AI54) - 5), 1)</f>
        <v>1</v>
      </c>
      <c r="AJ54" s="2" t="str">
        <f t="shared" ref="AJ54:AL54" si="71">MID($G11, COLUMN() - (COLUMN($AI54) - 5), 1)</f>
        <v>1</v>
      </c>
      <c r="AK54" s="2" t="str">
        <f t="shared" si="71"/>
        <v>0</v>
      </c>
      <c r="AL54" s="2" t="str">
        <f t="shared" si="71"/>
        <v>0</v>
      </c>
      <c r="AM54" t="s">
        <v>4</v>
      </c>
      <c r="AN54" s="2" t="str">
        <f>MID($G11, COLUMN() - (COLUMN($AN54) - 9), 1)</f>
        <v>1</v>
      </c>
      <c r="AO54" s="2" t="str">
        <f t="shared" ref="AO54:AQ54" si="72">MID($G11, COLUMN() - (COLUMN($AN54) - 9), 1)</f>
        <v>1</v>
      </c>
      <c r="AP54" s="2" t="str">
        <f t="shared" si="72"/>
        <v>1</v>
      </c>
      <c r="AQ54" s="2" t="str">
        <f t="shared" si="72"/>
        <v>0</v>
      </c>
      <c r="AR54" t="s">
        <v>4</v>
      </c>
      <c r="AS54" s="2" t="str">
        <f>MID($G11, COLUMN() - (COLUMN($AS54) - 13), 1)</f>
        <v>0</v>
      </c>
      <c r="AT54" s="2" t="str">
        <f t="shared" ref="AT54:AV54" si="73">MID($G11, COLUMN() - (COLUMN($AS54) - 13), 1)</f>
        <v>1</v>
      </c>
      <c r="AU54" s="2" t="str">
        <f t="shared" si="73"/>
        <v>1</v>
      </c>
      <c r="AV54" s="2" t="str">
        <f t="shared" si="73"/>
        <v>0</v>
      </c>
      <c r="AY54" s="1" t="s">
        <v>9</v>
      </c>
      <c r="AZ54" t="s">
        <v>65</v>
      </c>
      <c r="BA54">
        <f xml:space="preserve"> C11</f>
        <v>-17178</v>
      </c>
    </row>
    <row r="55" spans="28:53" x14ac:dyDescent="0.3">
      <c r="AC55" s="4" t="s">
        <v>15</v>
      </c>
      <c r="AD55" s="4" t="s">
        <v>16</v>
      </c>
      <c r="AE55" s="4" t="s">
        <v>16</v>
      </c>
      <c r="AF55" s="4" t="s">
        <v>16</v>
      </c>
      <c r="AG55" s="4" t="s">
        <v>16</v>
      </c>
      <c r="AH55" s="4" t="s">
        <v>16</v>
      </c>
      <c r="AI55" s="4" t="s">
        <v>16</v>
      </c>
      <c r="AJ55" s="4" t="s">
        <v>16</v>
      </c>
      <c r="AK55" s="4" t="s">
        <v>16</v>
      </c>
      <c r="AL55" s="4" t="s">
        <v>16</v>
      </c>
      <c r="AM55" s="4" t="s">
        <v>16</v>
      </c>
      <c r="AN55" s="4" t="s">
        <v>16</v>
      </c>
      <c r="AO55" s="4" t="s">
        <v>16</v>
      </c>
      <c r="AP55" s="4" t="s">
        <v>16</v>
      </c>
      <c r="AQ55" s="4" t="s">
        <v>16</v>
      </c>
      <c r="AR55" s="4" t="s">
        <v>16</v>
      </c>
      <c r="AS55" s="4" t="s">
        <v>16</v>
      </c>
      <c r="AT55" s="4" t="s">
        <v>16</v>
      </c>
      <c r="AU55" s="4" t="s">
        <v>16</v>
      </c>
      <c r="AV55" s="4" t="s">
        <v>16</v>
      </c>
      <c r="AW55" s="3"/>
      <c r="BA55" s="2" t="s">
        <v>15</v>
      </c>
    </row>
    <row r="56" spans="28:53" x14ac:dyDescent="0.3">
      <c r="AD56" s="2">
        <f>_xlfn.BITXOR(_xlfn.BITXOR(AD53,AD54),AD52)</f>
        <v>1</v>
      </c>
      <c r="AE56" s="2">
        <f>_xlfn.BITXOR(_xlfn.BITXOR(AE53,AE54),AE52)</f>
        <v>1</v>
      </c>
      <c r="AF56" s="2">
        <f>_xlfn.BITXOR(_xlfn.BITXOR(AF53,AF54),AF52)</f>
        <v>0</v>
      </c>
      <c r="AG56" s="2">
        <f>_xlfn.BITXOR(_xlfn.BITXOR(AG53,AG54),AG52)</f>
        <v>1</v>
      </c>
      <c r="AI56" s="2">
        <f>_xlfn.BITXOR(_xlfn.BITXOR(AI53,AI54),AI52)</f>
        <v>1</v>
      </c>
      <c r="AJ56" s="2">
        <f>_xlfn.BITXOR(_xlfn.BITXOR(AJ53,AJ54),AJ52)</f>
        <v>0</v>
      </c>
      <c r="AK56" s="2">
        <f>_xlfn.BITXOR(_xlfn.BITXOR(AK53,AK54),AK52)</f>
        <v>0</v>
      </c>
      <c r="AL56" s="2">
        <f>_xlfn.BITXOR(_xlfn.BITXOR(AL53,AL54),AL52)</f>
        <v>1</v>
      </c>
      <c r="AN56" s="2">
        <f>_xlfn.BITXOR(_xlfn.BITXOR(AN53,AN54),AN52)</f>
        <v>1</v>
      </c>
      <c r="AO56" s="2">
        <f>_xlfn.BITXOR(_xlfn.BITXOR(AO53,AO54),AO52)</f>
        <v>1</v>
      </c>
      <c r="AP56" s="2">
        <f>_xlfn.BITXOR(_xlfn.BITXOR(AP53,AP54),AP52)</f>
        <v>0</v>
      </c>
      <c r="AQ56" s="2">
        <f>_xlfn.BITXOR(_xlfn.BITXOR(AQ53,AQ54),AQ52)</f>
        <v>0</v>
      </c>
      <c r="AS56" s="2">
        <f>_xlfn.BITXOR(_xlfn.BITXOR(AS53,AS54),AS52)</f>
        <v>0</v>
      </c>
      <c r="AT56" s="2">
        <f>_xlfn.BITXOR(_xlfn.BITXOR(AT53,AT54),AT52)</f>
        <v>0</v>
      </c>
      <c r="AU56" s="2">
        <f>_xlfn.BITXOR(_xlfn.BITXOR(AU53,AU54),AU52)</f>
        <v>1</v>
      </c>
      <c r="AV56" s="2">
        <f>_xlfn.BITXOR(_xlfn.BITXOR(AV53,AV54),AV52)</f>
        <v>1</v>
      </c>
      <c r="AW56" s="1" t="s">
        <v>20</v>
      </c>
      <c r="AX56" s="1">
        <v>-55747</v>
      </c>
      <c r="BA56">
        <f xml:space="preserve"> BA53 +BA54</f>
        <v>-9789</v>
      </c>
    </row>
    <row r="58" spans="28:53" x14ac:dyDescent="0.3">
      <c r="AC58" t="s">
        <v>60</v>
      </c>
      <c r="AD58">
        <f xml:space="preserve"> AD52</f>
        <v>0</v>
      </c>
      <c r="AF58" t="s">
        <v>28</v>
      </c>
      <c r="AG58">
        <v>0</v>
      </c>
      <c r="AI58" t="s">
        <v>29</v>
      </c>
      <c r="AJ58">
        <f xml:space="preserve"> AS52</f>
        <v>1</v>
      </c>
      <c r="AL58" t="s">
        <v>30</v>
      </c>
      <c r="AM58" s="2">
        <f xml:space="preserve"> IF(SUM(AD56:AV56)=0,1,0)</f>
        <v>0</v>
      </c>
      <c r="AO58" t="s">
        <v>31</v>
      </c>
      <c r="AP58">
        <f xml:space="preserve"> AD56</f>
        <v>1</v>
      </c>
      <c r="AR58" t="s">
        <v>32</v>
      </c>
      <c r="AS58">
        <v>0</v>
      </c>
      <c r="AW58" t="s">
        <v>66</v>
      </c>
    </row>
    <row r="62" spans="28:53" x14ac:dyDescent="0.3">
      <c r="AC62" s="3"/>
      <c r="AD62" s="3">
        <f>IF(OR(AE63+AE64 &gt; 1, AE62 + AE63 &gt; 1, AE62 + AE64 &gt; 1), 1, 0)</f>
        <v>1</v>
      </c>
      <c r="AE62" s="3">
        <f>IF(OR(AF63+AF64 &gt; 1, AF62 + AF63 &gt; 1, AF62 + AF64 &gt; 1), 1, 0)</f>
        <v>0</v>
      </c>
      <c r="AF62" s="3">
        <f>IF(OR(AG63+AG64 &gt; 1, AG62 + AG63 &gt; 1, AG62 + AG64 &gt; 1), 1, 0)</f>
        <v>1</v>
      </c>
      <c r="AG62" s="3">
        <f>IF(OR(AI63+AI64 &gt; 1, AI62 + AI63 &gt; 1, AI62 + AI64 &gt; 1), 1, 0)</f>
        <v>1</v>
      </c>
      <c r="AH62" s="3"/>
      <c r="AI62" s="3">
        <f>IF(OR(AJ63+AJ64 &gt; 1, AJ62 + AJ63 &gt; 1, AJ62 + AJ64 &gt; 1), 1, 0)</f>
        <v>1</v>
      </c>
      <c r="AJ62" s="3">
        <f t="shared" ref="AJ62" si="74">IF(OR(AK63+AK64 &gt; 1, AK62 + AK63 &gt; 1, AK62 + AK64 &gt; 1), 1, 0)</f>
        <v>1</v>
      </c>
      <c r="AK62" s="3">
        <f t="shared" ref="AK62" si="75">IF(OR(AL63+AL64 &gt; 1, AL62 + AL63 &gt; 1, AL62 + AL64 &gt; 1), 1, 0)</f>
        <v>1</v>
      </c>
      <c r="AL62" s="3">
        <f>IF(OR(AN63+AN64 &gt; 1, AN62 + AN63 &gt; 1, AN62 + AN64 &gt; 1), 1, 0)</f>
        <v>1</v>
      </c>
      <c r="AM62" s="3"/>
      <c r="AN62" s="3">
        <f>IF(OR(AO63+AO64 &gt; 1, AO62 + AO63 &gt; 1, AO62 + AO64 &gt; 1), 1, 0)</f>
        <v>1</v>
      </c>
      <c r="AO62" s="3">
        <f t="shared" ref="AO62" si="76">IF(OR(AP63+AP64 &gt; 1, AP62 + AP63 &gt; 1, AP62 + AP64 &gt; 1), 1, 0)</f>
        <v>0</v>
      </c>
      <c r="AP62" s="3">
        <f t="shared" ref="AP62" si="77">IF(OR(AQ63+AQ64 &gt; 1, AQ62 + AQ63 &gt; 1, AQ62 + AQ64 &gt; 1), 1, 0)</f>
        <v>0</v>
      </c>
      <c r="AQ62" s="3">
        <f>IF(OR(AS63+AS64 &gt; 1, AS62 + AS63 &gt; 1, AS62 + AS64 &gt; 1), 1, 0)</f>
        <v>0</v>
      </c>
      <c r="AR62" s="3"/>
      <c r="AS62" s="3">
        <f>IF(OR(AT63+AT64 &gt; 1, AT62 + AT63 &gt; 1, AT62 + AT64 &gt; 1), 1, 0)</f>
        <v>1</v>
      </c>
      <c r="AT62" s="3">
        <f t="shared" ref="AT62" si="78">IF(OR(AU63+AU64 &gt; 1, AU62 + AU63 &gt; 1, AU62 + AU64 &gt; 1), 1, 0)</f>
        <v>1</v>
      </c>
      <c r="AU62" s="3">
        <f t="shared" ref="AU62" si="79">IF(OR(AV63+AV64 &gt; 1, AV62 + AV63 &gt; 1, AV62 + AV64 &gt; 1), 1, 0)</f>
        <v>1</v>
      </c>
    </row>
    <row r="63" spans="28:53" x14ac:dyDescent="0.3">
      <c r="AC63" t="s">
        <v>70</v>
      </c>
      <c r="AD63" s="2" t="str">
        <f>MID($G14, COLUMN() - (COLUMN($AD63) - 1), 1)</f>
        <v>1</v>
      </c>
      <c r="AE63" s="2" t="str">
        <f t="shared" ref="AE63:AG63" si="80">MID($G14, COLUMN() - (COLUMN($AD63) - 1), 1)</f>
        <v>1</v>
      </c>
      <c r="AF63" s="2" t="str">
        <f t="shared" si="80"/>
        <v>0</v>
      </c>
      <c r="AG63" s="2" t="str">
        <f t="shared" si="80"/>
        <v>1</v>
      </c>
      <c r="AH63" t="s">
        <v>4</v>
      </c>
      <c r="AI63" s="2" t="str">
        <f>MID($G14, COLUMN() - (COLUMN($AI63) - 5), 1)</f>
        <v>1</v>
      </c>
      <c r="AJ63" s="2" t="str">
        <f t="shared" ref="AJ63:AL63" si="81">MID($G14, COLUMN() - (COLUMN($AI63) - 5), 1)</f>
        <v>0</v>
      </c>
      <c r="AK63" s="2" t="str">
        <f t="shared" si="81"/>
        <v>0</v>
      </c>
      <c r="AL63" s="2" t="str">
        <f t="shared" si="81"/>
        <v>1</v>
      </c>
      <c r="AM63" t="s">
        <v>4</v>
      </c>
      <c r="AN63" s="2" t="str">
        <f>MID($G14, COLUMN() - (COLUMN($AN63) - 9), 1)</f>
        <v>1</v>
      </c>
      <c r="AO63" s="2" t="str">
        <f t="shared" ref="AO63:AQ63" si="82">MID($G14, COLUMN() - (COLUMN($AN63) - 9), 1)</f>
        <v>1</v>
      </c>
      <c r="AP63" s="2" t="str">
        <f t="shared" si="82"/>
        <v>0</v>
      </c>
      <c r="AQ63" s="2" t="str">
        <f t="shared" si="82"/>
        <v>0</v>
      </c>
      <c r="AR63" t="s">
        <v>4</v>
      </c>
      <c r="AS63" s="2" t="str">
        <f>MID($G14, COLUMN() - (COLUMN($AS63) - 13), 1)</f>
        <v>0</v>
      </c>
      <c r="AT63" s="2" t="str">
        <f t="shared" ref="AT63:AV63" si="83">MID($G14, COLUMN() - (COLUMN($AS63) - 13), 1)</f>
        <v>0</v>
      </c>
      <c r="AU63" s="2" t="str">
        <f t="shared" si="83"/>
        <v>1</v>
      </c>
      <c r="AV63" s="2" t="str">
        <f t="shared" si="83"/>
        <v>1</v>
      </c>
      <c r="AZ63" t="s">
        <v>71</v>
      </c>
      <c r="BA63">
        <f xml:space="preserve"> C14</f>
        <v>-9789</v>
      </c>
    </row>
    <row r="64" spans="28:53" x14ac:dyDescent="0.3">
      <c r="AB64" s="1" t="s">
        <v>9</v>
      </c>
      <c r="AC64" t="s">
        <v>54</v>
      </c>
      <c r="AD64" s="2" t="str">
        <f>MID($G6, COLUMN() - (COLUMN($AD64) - 1), 1)</f>
        <v>0</v>
      </c>
      <c r="AE64" s="2" t="str">
        <f t="shared" ref="AE64:AG64" si="84">MID($G6, COLUMN() - (COLUMN($AD64) - 1), 1)</f>
        <v>1</v>
      </c>
      <c r="AF64" s="2" t="str">
        <f t="shared" si="84"/>
        <v>0</v>
      </c>
      <c r="AG64" s="2" t="str">
        <f t="shared" si="84"/>
        <v>1</v>
      </c>
      <c r="AH64" t="s">
        <v>4</v>
      </c>
      <c r="AI64" s="2" t="str">
        <f>MID($G6, COLUMN() - (COLUMN($AI64) - 5), 1)</f>
        <v>1</v>
      </c>
      <c r="AJ64" s="2" t="str">
        <f t="shared" ref="AJ64:AL64" si="85">MID($G6, COLUMN() - (COLUMN($AI64) - 5), 1)</f>
        <v>1</v>
      </c>
      <c r="AK64" s="2" t="str">
        <f t="shared" si="85"/>
        <v>1</v>
      </c>
      <c r="AL64" s="2" t="str">
        <f t="shared" si="85"/>
        <v>1</v>
      </c>
      <c r="AM64" t="s">
        <v>4</v>
      </c>
      <c r="AN64" s="2" t="str">
        <f>MID($G6, COLUMN() - (COLUMN($AN64) - 9), 1)</f>
        <v>1</v>
      </c>
      <c r="AO64" s="2" t="str">
        <f t="shared" ref="AO64:AQ64" si="86">MID($G6, COLUMN() - (COLUMN($AN64) - 9), 1)</f>
        <v>1</v>
      </c>
      <c r="AP64" s="2" t="str">
        <f t="shared" si="86"/>
        <v>1</v>
      </c>
      <c r="AQ64" s="2" t="str">
        <f t="shared" si="86"/>
        <v>1</v>
      </c>
      <c r="AR64" t="s">
        <v>4</v>
      </c>
      <c r="AS64" s="2" t="str">
        <f>MID($G6, COLUMN() - (COLUMN($AS64) - 13), 1)</f>
        <v>0</v>
      </c>
      <c r="AT64" s="2" t="str">
        <f t="shared" ref="AT64:AV64" si="87">MID($G6, COLUMN() - (COLUMN($AS64) - 13), 1)</f>
        <v>1</v>
      </c>
      <c r="AU64" s="2" t="str">
        <f t="shared" si="87"/>
        <v>1</v>
      </c>
      <c r="AV64" s="2" t="str">
        <f t="shared" si="87"/>
        <v>1</v>
      </c>
      <c r="AY64" s="1" t="s">
        <v>9</v>
      </c>
      <c r="AZ64" t="s">
        <v>55</v>
      </c>
      <c r="BA64">
        <f xml:space="preserve"> C6</f>
        <v>24567</v>
      </c>
    </row>
    <row r="65" spans="29:53" x14ac:dyDescent="0.3">
      <c r="AC65" s="4" t="s">
        <v>15</v>
      </c>
      <c r="AD65" s="4" t="s">
        <v>16</v>
      </c>
      <c r="AE65" s="4" t="s">
        <v>16</v>
      </c>
      <c r="AF65" s="4" t="s">
        <v>16</v>
      </c>
      <c r="AG65" s="4" t="s">
        <v>16</v>
      </c>
      <c r="AH65" s="4" t="s">
        <v>16</v>
      </c>
      <c r="AI65" s="4" t="s">
        <v>16</v>
      </c>
      <c r="AJ65" s="4" t="s">
        <v>16</v>
      </c>
      <c r="AK65" s="4" t="s">
        <v>16</v>
      </c>
      <c r="AL65" s="4" t="s">
        <v>16</v>
      </c>
      <c r="AM65" s="4" t="s">
        <v>16</v>
      </c>
      <c r="AN65" s="4" t="s">
        <v>16</v>
      </c>
      <c r="AO65" s="4" t="s">
        <v>16</v>
      </c>
      <c r="AP65" s="4" t="s">
        <v>16</v>
      </c>
      <c r="AQ65" s="4" t="s">
        <v>16</v>
      </c>
      <c r="AR65" s="4" t="s">
        <v>16</v>
      </c>
      <c r="AS65" s="4" t="s">
        <v>16</v>
      </c>
      <c r="AT65" s="4" t="s">
        <v>16</v>
      </c>
      <c r="AU65" s="4" t="s">
        <v>16</v>
      </c>
      <c r="AV65" s="4" t="s">
        <v>16</v>
      </c>
      <c r="AW65" s="3"/>
    </row>
    <row r="66" spans="29:53" x14ac:dyDescent="0.3">
      <c r="AD66" s="2">
        <f>_xlfn.BITXOR(_xlfn.BITXOR(AD63,AD64),AD62)</f>
        <v>0</v>
      </c>
      <c r="AE66" s="2">
        <f>_xlfn.BITXOR(_xlfn.BITXOR(AE63,AE64),AE62)</f>
        <v>0</v>
      </c>
      <c r="AF66" s="2">
        <f>_xlfn.BITXOR(_xlfn.BITXOR(AF63,AF64),AF62)</f>
        <v>1</v>
      </c>
      <c r="AG66" s="2">
        <f>_xlfn.BITXOR(_xlfn.BITXOR(AG63,AG64),AG62)</f>
        <v>1</v>
      </c>
      <c r="AI66" s="2">
        <f>_xlfn.BITXOR(_xlfn.BITXOR(AI63,AI64),AI62)</f>
        <v>1</v>
      </c>
      <c r="AJ66" s="2">
        <f>_xlfn.BITXOR(_xlfn.BITXOR(AJ63,AJ64),AJ62)</f>
        <v>0</v>
      </c>
      <c r="AK66" s="2">
        <f>_xlfn.BITXOR(_xlfn.BITXOR(AK63,AK64),AK62)</f>
        <v>0</v>
      </c>
      <c r="AL66" s="2">
        <f>_xlfn.BITXOR(_xlfn.BITXOR(AL63,AL64),AL62)</f>
        <v>1</v>
      </c>
      <c r="AN66" s="2">
        <f>_xlfn.BITXOR(_xlfn.BITXOR(AN63,AN64),AN62)</f>
        <v>1</v>
      </c>
      <c r="AO66" s="2">
        <f>_xlfn.BITXOR(_xlfn.BITXOR(AO63,AO64),AO62)</f>
        <v>0</v>
      </c>
      <c r="AP66" s="2">
        <f>_xlfn.BITXOR(_xlfn.BITXOR(AP63,AP64),AP62)</f>
        <v>1</v>
      </c>
      <c r="AQ66" s="2">
        <f>_xlfn.BITXOR(_xlfn.BITXOR(AQ63,AQ64),AQ62)</f>
        <v>1</v>
      </c>
      <c r="AS66" s="2">
        <f>_xlfn.BITXOR(_xlfn.BITXOR(AS63,AS64),AS62)</f>
        <v>1</v>
      </c>
      <c r="AT66" s="2">
        <f>_xlfn.BITXOR(_xlfn.BITXOR(AT63,AT64),AT62)</f>
        <v>0</v>
      </c>
      <c r="AU66" s="2">
        <f>_xlfn.BITXOR(_xlfn.BITXOR(AU63,AU64),AU62)</f>
        <v>1</v>
      </c>
      <c r="AV66" s="2">
        <f>_xlfn.BITXOR(_xlfn.BITXOR(AV63,AV64),AV62)</f>
        <v>0</v>
      </c>
      <c r="AW66" s="1" t="s">
        <v>20</v>
      </c>
      <c r="AX66">
        <v>14778</v>
      </c>
      <c r="BA66">
        <f xml:space="preserve"> BA63 +BA64</f>
        <v>14778</v>
      </c>
    </row>
    <row r="68" spans="29:53" x14ac:dyDescent="0.3">
      <c r="AC68" t="s">
        <v>60</v>
      </c>
      <c r="AD68">
        <f xml:space="preserve"> AD62</f>
        <v>1</v>
      </c>
      <c r="AF68" t="s">
        <v>28</v>
      </c>
      <c r="AG68">
        <v>1</v>
      </c>
      <c r="AI68" t="s">
        <v>29</v>
      </c>
      <c r="AJ68">
        <v>0</v>
      </c>
      <c r="AL68" t="s">
        <v>30</v>
      </c>
      <c r="AM68" s="2">
        <f xml:space="preserve"> IF(SUM(AD66:AV66)=0,1,0)</f>
        <v>0</v>
      </c>
      <c r="AO68" t="s">
        <v>31</v>
      </c>
      <c r="AP68">
        <f xml:space="preserve"> AD66</f>
        <v>0</v>
      </c>
      <c r="AR68" t="s">
        <v>32</v>
      </c>
      <c r="AS68">
        <v>0</v>
      </c>
      <c r="AW68" s="5" t="s">
        <v>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42DCB-1819-4E9D-8F41-3B364D44C919}">
  <sheetPr codeName="Лист2"/>
  <dimension ref="A2:B13"/>
  <sheetViews>
    <sheetView workbookViewId="0">
      <selection activeCell="L21" sqref="L21"/>
    </sheetView>
  </sheetViews>
  <sheetFormatPr defaultRowHeight="14.4" x14ac:dyDescent="0.3"/>
  <sheetData>
    <row r="2" spans="1:2" x14ac:dyDescent="0.3">
      <c r="A2" t="s">
        <v>6</v>
      </c>
      <c r="B2">
        <f>Лист1!C4</f>
        <v>7389</v>
      </c>
    </row>
    <row r="3" spans="1:2" x14ac:dyDescent="0.3">
      <c r="A3" t="s">
        <v>11</v>
      </c>
      <c r="B3">
        <f>Лист1!C5</f>
        <v>17178</v>
      </c>
    </row>
    <row r="4" spans="1:2" x14ac:dyDescent="0.3">
      <c r="A4" t="s">
        <v>55</v>
      </c>
      <c r="B4">
        <f>Лист1!C6</f>
        <v>24567</v>
      </c>
    </row>
    <row r="5" spans="1:2" x14ac:dyDescent="0.3">
      <c r="A5" t="s">
        <v>72</v>
      </c>
      <c r="B5">
        <f>Лист1!C7</f>
        <v>41745</v>
      </c>
    </row>
    <row r="6" spans="1:2" x14ac:dyDescent="0.3">
      <c r="A6" t="s">
        <v>73</v>
      </c>
      <c r="B6">
        <f>Лист1!C8</f>
        <v>9789</v>
      </c>
    </row>
    <row r="7" spans="1:2" x14ac:dyDescent="0.3">
      <c r="A7" t="s">
        <v>74</v>
      </c>
      <c r="B7">
        <f>Лист1!C9</f>
        <v>23791</v>
      </c>
    </row>
    <row r="8" spans="1:2" x14ac:dyDescent="0.3">
      <c r="A8" t="s">
        <v>62</v>
      </c>
      <c r="B8">
        <f>Лист1!C10</f>
        <v>-7389</v>
      </c>
    </row>
    <row r="9" spans="1:2" x14ac:dyDescent="0.3">
      <c r="A9" t="s">
        <v>65</v>
      </c>
      <c r="B9">
        <f>Лист1!C11</f>
        <v>-17178</v>
      </c>
    </row>
    <row r="10" spans="1:2" x14ac:dyDescent="0.3">
      <c r="A10" t="s">
        <v>68</v>
      </c>
      <c r="B10">
        <f>Лист1!C12</f>
        <v>-24567</v>
      </c>
    </row>
    <row r="11" spans="1:2" x14ac:dyDescent="0.3">
      <c r="A11" t="s">
        <v>75</v>
      </c>
      <c r="B11">
        <f>Лист1!C13</f>
        <v>-41745</v>
      </c>
    </row>
    <row r="12" spans="1:2" x14ac:dyDescent="0.3">
      <c r="A12" t="s">
        <v>71</v>
      </c>
      <c r="B12">
        <f>Лист1!C14</f>
        <v>-9789</v>
      </c>
    </row>
    <row r="13" spans="1:2" x14ac:dyDescent="0.3">
      <c r="A13" t="s">
        <v>76</v>
      </c>
      <c r="B13">
        <f>Лист1!C15</f>
        <v>-23791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Алина Агнистова</dc:creator>
  <cp:keywords/>
  <dc:description/>
  <cp:lastModifiedBy>Алина Агнистова</cp:lastModifiedBy>
  <cp:revision/>
  <dcterms:created xsi:type="dcterms:W3CDTF">2022-12-25T16:19:52Z</dcterms:created>
  <dcterms:modified xsi:type="dcterms:W3CDTF">2022-12-26T16:20:26Z</dcterms:modified>
  <cp:category/>
  <cp:contentStatus/>
</cp:coreProperties>
</file>